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_Data" sheetId="1" state="visible" r:id="rId3"/>
    <sheet name="ROI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<sst xmlns="http://schemas.openxmlformats.org/spreadsheetml/2006/main" count="512" uniqueCount="255">
  <si>
    <t xml:space="preserve">Asset ID</t>
  </si>
  <si>
    <t xml:space="preserve">Asset Name</t>
  </si>
  <si>
    <t xml:space="preserve">Media Type</t>
  </si>
  <si>
    <t xml:space="preserve">Category</t>
  </si>
  <si>
    <t xml:space="preserve">Production Date</t>
  </si>
  <si>
    <t xml:space="preserve">Equipment Cost</t>
  </si>
  <si>
    <t xml:space="preserve">Labor Cost</t>
  </si>
  <si>
    <t xml:space="preserve">Software Cost</t>
  </si>
  <si>
    <t xml:space="preserve">Post-Production Cost</t>
  </si>
  <si>
    <t xml:space="preserve">Revenue Generated</t>
  </si>
  <si>
    <t xml:space="preserve">Hours Spent</t>
  </si>
  <si>
    <t xml:space="preserve">Total Cost</t>
  </si>
  <si>
    <t xml:space="preserve">Profit</t>
  </si>
  <si>
    <t xml:space="preserve">ROI %</t>
  </si>
  <si>
    <t xml:space="preserve">Cinematic_Asset_046</t>
  </si>
  <si>
    <t xml:space="preserve">Cinematic Animation Video</t>
  </si>
  <si>
    <t xml:space="preserve">Video</t>
  </si>
  <si>
    <t xml:space="preserve">2025-02-22</t>
  </si>
  <si>
    <t xml:space="preserve">Cinematic_Asset_026</t>
  </si>
  <si>
    <t xml:space="preserve">2025-08-11</t>
  </si>
  <si>
    <t xml:space="preserve">Short_Asset_090</t>
  </si>
  <si>
    <t xml:space="preserve">Short Reel</t>
  </si>
  <si>
    <t xml:space="preserve">2025-11-25</t>
  </si>
  <si>
    <t xml:space="preserve">DSLR_Asset_017</t>
  </si>
  <si>
    <t xml:space="preserve">DSLR Portrait</t>
  </si>
  <si>
    <t xml:space="preserve">Photography</t>
  </si>
  <si>
    <t xml:space="preserve">2025-11-08</t>
  </si>
  <si>
    <t xml:space="preserve">Product_Asset_052</t>
  </si>
  <si>
    <t xml:space="preserve">Product Photo</t>
  </si>
  <si>
    <t xml:space="preserve">2025-06-09</t>
  </si>
  <si>
    <t xml:space="preserve">Product_Asset_061</t>
  </si>
  <si>
    <t xml:space="preserve">2025-03-03</t>
  </si>
  <si>
    <t xml:space="preserve">DSLR_Asset_005</t>
  </si>
  <si>
    <t xml:space="preserve">2025-04-17</t>
  </si>
  <si>
    <t xml:space="preserve">Cinematic_Asset_039</t>
  </si>
  <si>
    <t xml:space="preserve">2025-06-07</t>
  </si>
  <si>
    <t xml:space="preserve">Short_Asset_079</t>
  </si>
  <si>
    <t xml:space="preserve">2025-02-17</t>
  </si>
  <si>
    <t xml:space="preserve">Product_Asset_066</t>
  </si>
  <si>
    <t xml:space="preserve">2025-12-07</t>
  </si>
  <si>
    <t xml:space="preserve">Infographic_Asset_112</t>
  </si>
  <si>
    <t xml:space="preserve">Infographic</t>
  </si>
  <si>
    <t xml:space="preserve">Graphic</t>
  </si>
  <si>
    <t xml:space="preserve">2025-10-03</t>
  </si>
  <si>
    <t xml:space="preserve">Infographic_Asset_115</t>
  </si>
  <si>
    <t xml:space="preserve">2025-05-15</t>
  </si>
  <si>
    <t xml:space="preserve">Cinematic_Asset_048</t>
  </si>
  <si>
    <t xml:space="preserve">2025-09-17</t>
  </si>
  <si>
    <t xml:space="preserve">Cinematic_Asset_037</t>
  </si>
  <si>
    <t xml:space="preserve">2025-08-16</t>
  </si>
  <si>
    <t xml:space="preserve">Infographic_Asset_106</t>
  </si>
  <si>
    <t xml:space="preserve">2025-06-16</t>
  </si>
  <si>
    <t xml:space="preserve">Short_Asset_093</t>
  </si>
  <si>
    <t xml:space="preserve">2025-09-10</t>
  </si>
  <si>
    <t xml:space="preserve">Infographic_Asset_114</t>
  </si>
  <si>
    <t xml:space="preserve">2025-10-20</t>
  </si>
  <si>
    <t xml:space="preserve">Product_Asset_062</t>
  </si>
  <si>
    <t xml:space="preserve">DSLR_Asset_024</t>
  </si>
  <si>
    <t xml:space="preserve">2025-12-01</t>
  </si>
  <si>
    <t xml:space="preserve">Product_Asset_071</t>
  </si>
  <si>
    <t xml:space="preserve">2025-07-18</t>
  </si>
  <si>
    <t xml:space="preserve">Infographic_Asset_118</t>
  </si>
  <si>
    <t xml:space="preserve">2025-08-28</t>
  </si>
  <si>
    <t xml:space="preserve">Short_Asset_083</t>
  </si>
  <si>
    <t xml:space="preserve">Infographic_Asset_097</t>
  </si>
  <si>
    <t xml:space="preserve">2025-12-15</t>
  </si>
  <si>
    <t xml:space="preserve">Infographic_Asset_108</t>
  </si>
  <si>
    <t xml:space="preserve">2025-05-13</t>
  </si>
  <si>
    <t xml:space="preserve">Product_Asset_050</t>
  </si>
  <si>
    <t xml:space="preserve">2025-10-21</t>
  </si>
  <si>
    <t xml:space="preserve">Short_Asset_089</t>
  </si>
  <si>
    <t xml:space="preserve">2025-07-17</t>
  </si>
  <si>
    <t xml:space="preserve">Cinematic_Asset_035</t>
  </si>
  <si>
    <t xml:space="preserve">2025-02-16</t>
  </si>
  <si>
    <t xml:space="preserve">Cinematic_Asset_040</t>
  </si>
  <si>
    <t xml:space="preserve">2025-05-27</t>
  </si>
  <si>
    <t xml:space="preserve">DSLR_Asset_009</t>
  </si>
  <si>
    <t xml:space="preserve">2025-01-16</t>
  </si>
  <si>
    <t xml:space="preserve">Short_Asset_088</t>
  </si>
  <si>
    <t xml:space="preserve">2025-01-04</t>
  </si>
  <si>
    <t xml:space="preserve">Short_Asset_085</t>
  </si>
  <si>
    <t xml:space="preserve">2025-11-13</t>
  </si>
  <si>
    <t xml:space="preserve">Infographic_Asset_102</t>
  </si>
  <si>
    <t xml:space="preserve">2025-05-09</t>
  </si>
  <si>
    <t xml:space="preserve">Short_Asset_073</t>
  </si>
  <si>
    <t xml:space="preserve">2025-06-17</t>
  </si>
  <si>
    <t xml:space="preserve">Cinematic_Asset_033</t>
  </si>
  <si>
    <t xml:space="preserve">2025-12-23</t>
  </si>
  <si>
    <t xml:space="preserve">Short_Asset_094</t>
  </si>
  <si>
    <t xml:space="preserve">2025-11-06</t>
  </si>
  <si>
    <t xml:space="preserve">DSLR_Asset_016</t>
  </si>
  <si>
    <t xml:space="preserve">2025-10-11</t>
  </si>
  <si>
    <t xml:space="preserve">Infographic_Asset_116</t>
  </si>
  <si>
    <t xml:space="preserve">2025-06-01</t>
  </si>
  <si>
    <t xml:space="preserve">DSLR_Asset_023</t>
  </si>
  <si>
    <t xml:space="preserve">2025-11-28</t>
  </si>
  <si>
    <t xml:space="preserve">Infographic_Asset_099</t>
  </si>
  <si>
    <t xml:space="preserve">2025-08-05</t>
  </si>
  <si>
    <t xml:space="preserve">Infographic_Asset_109</t>
  </si>
  <si>
    <t xml:space="preserve">2025-12-27</t>
  </si>
  <si>
    <t xml:space="preserve">DSLR_Asset_007</t>
  </si>
  <si>
    <t xml:space="preserve">Short_Asset_076</t>
  </si>
  <si>
    <t xml:space="preserve">2025-03-22</t>
  </si>
  <si>
    <t xml:space="preserve">DSLR_Asset_003</t>
  </si>
  <si>
    <t xml:space="preserve">2025-12-20</t>
  </si>
  <si>
    <t xml:space="preserve">Product_Asset_056</t>
  </si>
  <si>
    <t xml:space="preserve">2025-02-25</t>
  </si>
  <si>
    <t xml:space="preserve">Cinematic_Asset_038</t>
  </si>
  <si>
    <t xml:space="preserve">2025-07-26</t>
  </si>
  <si>
    <t xml:space="preserve">Short_Asset_074</t>
  </si>
  <si>
    <t xml:space="preserve">2025-01-25</t>
  </si>
  <si>
    <t xml:space="preserve">Cinematic_Asset_030</t>
  </si>
  <si>
    <t xml:space="preserve">2025-11-16</t>
  </si>
  <si>
    <t xml:space="preserve">Product_Asset_058</t>
  </si>
  <si>
    <t xml:space="preserve">2025-10-07</t>
  </si>
  <si>
    <t xml:space="preserve">Short_Asset_086</t>
  </si>
  <si>
    <t xml:space="preserve">2025-11-07</t>
  </si>
  <si>
    <t xml:space="preserve">Infographic_Asset_103</t>
  </si>
  <si>
    <t xml:space="preserve">2025-04-07</t>
  </si>
  <si>
    <t xml:space="preserve">Product_Asset_065</t>
  </si>
  <si>
    <t xml:space="preserve">2025-08-04</t>
  </si>
  <si>
    <t xml:space="preserve">Infographic_Asset_107</t>
  </si>
  <si>
    <t xml:space="preserve">2025-02-26</t>
  </si>
  <si>
    <t xml:space="preserve">DSLR_Asset_008</t>
  </si>
  <si>
    <t xml:space="preserve">2025-07-03</t>
  </si>
  <si>
    <t xml:space="preserve">Short_Asset_075</t>
  </si>
  <si>
    <t xml:space="preserve">2025-03-04</t>
  </si>
  <si>
    <t xml:space="preserve">DSLR_Asset_020</t>
  </si>
  <si>
    <t xml:space="preserve">2025-08-20</t>
  </si>
  <si>
    <t xml:space="preserve">Cinematic_Asset_031</t>
  </si>
  <si>
    <t xml:space="preserve">2025-10-01</t>
  </si>
  <si>
    <t xml:space="preserve">Short_Asset_077</t>
  </si>
  <si>
    <t xml:space="preserve">2025-06-14</t>
  </si>
  <si>
    <t xml:space="preserve">Product_Asset_057</t>
  </si>
  <si>
    <t xml:space="preserve">Short_Asset_091</t>
  </si>
  <si>
    <t xml:space="preserve">2025-03-28</t>
  </si>
  <si>
    <t xml:space="preserve">Short_Asset_078</t>
  </si>
  <si>
    <t xml:space="preserve">2025-03-14</t>
  </si>
  <si>
    <t xml:space="preserve">Cinematic_Asset_034</t>
  </si>
  <si>
    <t xml:space="preserve">2025-09-01</t>
  </si>
  <si>
    <t xml:space="preserve">Cinematic_Asset_028</t>
  </si>
  <si>
    <t xml:space="preserve">Cinematic_Asset_025</t>
  </si>
  <si>
    <t xml:space="preserve">2025-05-12</t>
  </si>
  <si>
    <t xml:space="preserve">Cinematic_Asset_027</t>
  </si>
  <si>
    <t xml:space="preserve">Cinematic_Asset_042</t>
  </si>
  <si>
    <t xml:space="preserve">2025-02-27</t>
  </si>
  <si>
    <t xml:space="preserve">DSLR_Asset_022</t>
  </si>
  <si>
    <t xml:space="preserve">2025-08-10</t>
  </si>
  <si>
    <t xml:space="preserve">Short_Asset_081</t>
  </si>
  <si>
    <t xml:space="preserve">2025-02-24</t>
  </si>
  <si>
    <t xml:space="preserve">DSLR_Asset_021</t>
  </si>
  <si>
    <t xml:space="preserve">2025-05-08</t>
  </si>
  <si>
    <t xml:space="preserve">Infographic_Asset_104</t>
  </si>
  <si>
    <t xml:space="preserve">2025-01-01</t>
  </si>
  <si>
    <t xml:space="preserve">Infographic_Asset_110</t>
  </si>
  <si>
    <t xml:space="preserve">2025-06-03</t>
  </si>
  <si>
    <t xml:space="preserve">Product_Asset_072</t>
  </si>
  <si>
    <t xml:space="preserve">2025-10-22</t>
  </si>
  <si>
    <t xml:space="preserve">Product_Asset_054</t>
  </si>
  <si>
    <t xml:space="preserve">2025-02-14</t>
  </si>
  <si>
    <t xml:space="preserve">DSLR_Asset_015</t>
  </si>
  <si>
    <t xml:space="preserve">DSLR_Asset_002</t>
  </si>
  <si>
    <t xml:space="preserve">Cinematic_Asset_047</t>
  </si>
  <si>
    <t xml:space="preserve">2025-08-18</t>
  </si>
  <si>
    <t xml:space="preserve">Product_Asset_068</t>
  </si>
  <si>
    <t xml:space="preserve">2025-09-20</t>
  </si>
  <si>
    <t xml:space="preserve">Infographic_Asset_113</t>
  </si>
  <si>
    <t xml:space="preserve">2025-04-12</t>
  </si>
  <si>
    <t xml:space="preserve">Product_Asset_070</t>
  </si>
  <si>
    <t xml:space="preserve">2025-03-08</t>
  </si>
  <si>
    <t xml:space="preserve">Product_Asset_060</t>
  </si>
  <si>
    <t xml:space="preserve">2025-01-17</t>
  </si>
  <si>
    <t xml:space="preserve">DSLR_Asset_012</t>
  </si>
  <si>
    <t xml:space="preserve">2025-08-06</t>
  </si>
  <si>
    <t xml:space="preserve">Product_Asset_049</t>
  </si>
  <si>
    <t xml:space="preserve">2025-12-13</t>
  </si>
  <si>
    <t xml:space="preserve">DSLR_Asset_001</t>
  </si>
  <si>
    <t xml:space="preserve">Infographic_Asset_117</t>
  </si>
  <si>
    <t xml:space="preserve">2025-06-26</t>
  </si>
  <si>
    <t xml:space="preserve">Product_Asset_053</t>
  </si>
  <si>
    <t xml:space="preserve">2025-06-18</t>
  </si>
  <si>
    <t xml:space="preserve">DSLR_Asset_006</t>
  </si>
  <si>
    <t xml:space="preserve">2025-11-09</t>
  </si>
  <si>
    <t xml:space="preserve">Short_Asset_080</t>
  </si>
  <si>
    <t xml:space="preserve">DSLR_Asset_010</t>
  </si>
  <si>
    <t xml:space="preserve">2025-04-25</t>
  </si>
  <si>
    <t xml:space="preserve">Product_Asset_069</t>
  </si>
  <si>
    <t xml:space="preserve">2025-06-20</t>
  </si>
  <si>
    <t xml:space="preserve">Infographic_Asset_101</t>
  </si>
  <si>
    <t xml:space="preserve">2025-04-16</t>
  </si>
  <si>
    <t xml:space="preserve">Product_Asset_064</t>
  </si>
  <si>
    <t xml:space="preserve">DSLR_Asset_018</t>
  </si>
  <si>
    <t xml:space="preserve">2025-08-27</t>
  </si>
  <si>
    <t xml:space="preserve">Short_Asset_087</t>
  </si>
  <si>
    <t xml:space="preserve">2025-12-08</t>
  </si>
  <si>
    <t xml:space="preserve">Infographic_Asset_120</t>
  </si>
  <si>
    <t xml:space="preserve">2025-05-26</t>
  </si>
  <si>
    <t xml:space="preserve">Infographic_Asset_100</t>
  </si>
  <si>
    <t xml:space="preserve">2025-07-12</t>
  </si>
  <si>
    <t xml:space="preserve">Cinematic_Asset_045</t>
  </si>
  <si>
    <t xml:space="preserve">2025-11-04</t>
  </si>
  <si>
    <t xml:space="preserve">Product_Asset_051</t>
  </si>
  <si>
    <t xml:space="preserve">2025-11-23</t>
  </si>
  <si>
    <t xml:space="preserve">Product_Asset_059</t>
  </si>
  <si>
    <t xml:space="preserve">2025-04-14</t>
  </si>
  <si>
    <t xml:space="preserve">Cinematic_Asset_044</t>
  </si>
  <si>
    <t xml:space="preserve">2025-08-07</t>
  </si>
  <si>
    <t xml:space="preserve">Product_Asset_067</t>
  </si>
  <si>
    <t xml:space="preserve">2025-10-06</t>
  </si>
  <si>
    <t xml:space="preserve">Infographic_Asset_098</t>
  </si>
  <si>
    <t xml:space="preserve">Product_Asset_063</t>
  </si>
  <si>
    <t xml:space="preserve">2025-07-20</t>
  </si>
  <si>
    <t xml:space="preserve">Cinematic_Asset_029</t>
  </si>
  <si>
    <t xml:space="preserve">2025-09-12</t>
  </si>
  <si>
    <t xml:space="preserve">Short_Asset_092</t>
  </si>
  <si>
    <t xml:space="preserve">2025-09-13</t>
  </si>
  <si>
    <t xml:space="preserve">Cinematic_Asset_032</t>
  </si>
  <si>
    <t xml:space="preserve">2025-02-03</t>
  </si>
  <si>
    <t xml:space="preserve">Product_Asset_055</t>
  </si>
  <si>
    <t xml:space="preserve">2025-09-24</t>
  </si>
  <si>
    <t xml:space="preserve">Infographic_Asset_111</t>
  </si>
  <si>
    <t xml:space="preserve">Infographic_Asset_105</t>
  </si>
  <si>
    <t xml:space="preserve">2025-05-03</t>
  </si>
  <si>
    <t xml:space="preserve">Short_Asset_096</t>
  </si>
  <si>
    <t xml:space="preserve">2025-08-09</t>
  </si>
  <si>
    <t xml:space="preserve">DSLR_Asset_013</t>
  </si>
  <si>
    <t xml:space="preserve">DSLR_Asset_019</t>
  </si>
  <si>
    <t xml:space="preserve">2025-10-08</t>
  </si>
  <si>
    <t xml:space="preserve">Short_Asset_084</t>
  </si>
  <si>
    <t xml:space="preserve">2025-11-20</t>
  </si>
  <si>
    <t xml:space="preserve">Short_Asset_082</t>
  </si>
  <si>
    <t xml:space="preserve">DSLR_Asset_004</t>
  </si>
  <si>
    <t xml:space="preserve">2025-04-08</t>
  </si>
  <si>
    <t xml:space="preserve">Infographic_Asset_119</t>
  </si>
  <si>
    <t xml:space="preserve">2025-10-10</t>
  </si>
  <si>
    <t xml:space="preserve">Cinematic_Asset_041</t>
  </si>
  <si>
    <t xml:space="preserve">2025-07-21</t>
  </si>
  <si>
    <t xml:space="preserve">DSLR_Asset_014</t>
  </si>
  <si>
    <t xml:space="preserve">Short_Asset_095</t>
  </si>
  <si>
    <t xml:space="preserve">2025-01-19</t>
  </si>
  <si>
    <t xml:space="preserve">Cinematic_Asset_036</t>
  </si>
  <si>
    <t xml:space="preserve">DSLR_Asset_011</t>
  </si>
  <si>
    <t xml:space="preserve">2025-07-25</t>
  </si>
  <si>
    <t xml:space="preserve">Cinematic_Asset_043</t>
  </si>
  <si>
    <t xml:space="preserve">2025-10-12</t>
  </si>
  <si>
    <t xml:space="preserve">Assets</t>
  </si>
  <si>
    <t xml:space="preserve">Avg Equipment</t>
  </si>
  <si>
    <t xml:space="preserve">Avg Labor</t>
  </si>
  <si>
    <t xml:space="preserve">Avg Software</t>
  </si>
  <si>
    <t xml:space="preserve">Avg Post-Production</t>
  </si>
  <si>
    <t xml:space="preserve">Total Revenue</t>
  </si>
  <si>
    <t xml:space="preserve">Total Profit</t>
  </si>
  <si>
    <t xml:space="preserve">TOTAL</t>
  </si>
  <si>
    <t xml:space="preserve">Best ROI format:</t>
  </si>
  <si>
    <t xml:space="preserve">Highest-cost format: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</si>
</sst>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n">
        <v>1</v>
      </c>
      <c r="B2" s="0" t="s">
        <v>14</v>
      </c>
      <c r="C2" s="0" t="s">
        <v>15</v>
      </c>
      <c r="D2" s="0" t="s">
        <v>16</v>
      </c>
      <c r="E2" s="0" t="s">
        <v>17</v>
      </c>
      <c r="F2" s="2" t="n">
        <v>1145</v>
      </c>
      <c r="G2" s="2" t="n">
        <v>14771</v>
      </c>
      <c r="H2" s="2" t="n">
        <v>2141</v>
      </c>
      <c r="I2" s="2" t="n">
        <v>8242</v>
      </c>
      <c r="J2" s="2" t="n">
        <v>64013</v>
      </c>
      <c r="K2" s="0" t="n">
        <v>510</v>
      </c>
      <c r="L2" s="2" t="n">
        <f aca="false">F2+G2+H2+I2</f>
        <v>26299</v>
      </c>
      <c r="M2" s="2" t="n">
        <f aca="false">J2-L2</f>
        <v>37714</v>
      </c>
      <c r="N2" s="3" t="n">
        <f aca="false">ROUND((J2-L2)/L2*100,2)</f>
        <v>143.4</v>
      </c>
    </row>
    <row r="3" customFormat="false" ht="15" hidden="false" customHeight="false" outlineLevel="0" collapsed="false">
      <c r="A3" s="0" t="n">
        <v>2</v>
      </c>
      <c r="B3" s="0" t="s">
        <v>18</v>
      </c>
      <c r="C3" s="0" t="s">
        <v>15</v>
      </c>
      <c r="D3" s="0" t="s">
        <v>16</v>
      </c>
      <c r="E3" s="0" t="s">
        <v>19</v>
      </c>
      <c r="F3" s="2" t="n">
        <v>1496</v>
      </c>
      <c r="G3" s="2" t="n">
        <v>8155</v>
      </c>
      <c r="H3" s="2" t="n">
        <v>988</v>
      </c>
      <c r="I3" s="2" t="n">
        <v>5966</v>
      </c>
      <c r="J3" s="2" t="n">
        <v>19311</v>
      </c>
      <c r="K3" s="0" t="n">
        <v>213.8</v>
      </c>
      <c r="L3" s="2" t="n">
        <f aca="false">F3+G3+H3+I3</f>
        <v>16605</v>
      </c>
      <c r="M3" s="2" t="n">
        <f aca="false">J3-L3</f>
        <v>2706</v>
      </c>
      <c r="N3" s="3" t="n">
        <f aca="false">ROUND((J3-L3)/L3*100,2)</f>
        <v>16.3</v>
      </c>
    </row>
    <row r="4" customFormat="false" ht="15" hidden="false" customHeight="false" outlineLevel="0" collapsed="false">
      <c r="A4" s="0" t="n">
        <v>3</v>
      </c>
      <c r="B4" s="0" t="s">
        <v>20</v>
      </c>
      <c r="C4" s="0" t="s">
        <v>21</v>
      </c>
      <c r="D4" s="0" t="s">
        <v>16</v>
      </c>
      <c r="E4" s="0" t="s">
        <v>22</v>
      </c>
      <c r="F4" s="2" t="n">
        <v>302</v>
      </c>
      <c r="G4" s="2" t="n">
        <v>2306</v>
      </c>
      <c r="H4" s="2" t="n">
        <v>427</v>
      </c>
      <c r="I4" s="2" t="n">
        <v>656</v>
      </c>
      <c r="J4" s="2" t="n">
        <v>10107</v>
      </c>
      <c r="K4" s="0" t="n">
        <v>52.3</v>
      </c>
      <c r="L4" s="2" t="n">
        <f aca="false">F4+G4+H4+I4</f>
        <v>3691</v>
      </c>
      <c r="M4" s="2" t="n">
        <f aca="false">J4-L4</f>
        <v>6416</v>
      </c>
      <c r="N4" s="3" t="n">
        <f aca="false">ROUND((J4-L4)/L4*100,2)</f>
        <v>173.83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s">
        <v>24</v>
      </c>
      <c r="D5" s="0" t="s">
        <v>25</v>
      </c>
      <c r="E5" s="0" t="s">
        <v>26</v>
      </c>
      <c r="F5" s="2" t="n">
        <v>1590</v>
      </c>
      <c r="G5" s="2" t="n">
        <v>1800</v>
      </c>
      <c r="H5" s="2" t="n">
        <v>138</v>
      </c>
      <c r="I5" s="2" t="n">
        <v>592</v>
      </c>
      <c r="J5" s="2" t="n">
        <v>7316</v>
      </c>
      <c r="K5" s="0" t="n">
        <v>71.1</v>
      </c>
      <c r="L5" s="2" t="n">
        <f aca="false">F5+G5+H5+I5</f>
        <v>4120</v>
      </c>
      <c r="M5" s="2" t="n">
        <f aca="false">J5-L5</f>
        <v>3196</v>
      </c>
      <c r="N5" s="3" t="n">
        <f aca="false">ROUND((J5-L5)/L5*100,2)</f>
        <v>77.57</v>
      </c>
    </row>
    <row r="6" customFormat="false" ht="15" hidden="false" customHeight="false" outlineLevel="0" collapsed="false">
      <c r="A6" s="0" t="n">
        <v>5</v>
      </c>
      <c r="B6" s="0" t="s">
        <v>27</v>
      </c>
      <c r="C6" s="0" t="s">
        <v>28</v>
      </c>
      <c r="D6" s="0" t="s">
        <v>25</v>
      </c>
      <c r="E6" s="0" t="s">
        <v>29</v>
      </c>
      <c r="F6" s="2" t="n">
        <v>648</v>
      </c>
      <c r="G6" s="2" t="n">
        <v>1599</v>
      </c>
      <c r="H6" s="2" t="n">
        <v>102</v>
      </c>
      <c r="I6" s="2" t="n">
        <v>617</v>
      </c>
      <c r="J6" s="2" t="n">
        <v>7772</v>
      </c>
      <c r="K6" s="0" t="n">
        <v>37</v>
      </c>
      <c r="L6" s="2" t="n">
        <f aca="false">F6+G6+H6+I6</f>
        <v>2966</v>
      </c>
      <c r="M6" s="2" t="n">
        <f aca="false">J6-L6</f>
        <v>4806</v>
      </c>
      <c r="N6" s="3" t="n">
        <f aca="false">ROUND((J6-L6)/L6*100,2)</f>
        <v>162.04</v>
      </c>
    </row>
    <row r="7" customFormat="false" ht="15" hidden="false" customHeight="false" outlineLevel="0" collapsed="false">
      <c r="A7" s="0" t="n">
        <v>6</v>
      </c>
      <c r="B7" s="0" t="s">
        <v>30</v>
      </c>
      <c r="C7" s="0" t="s">
        <v>28</v>
      </c>
      <c r="D7" s="0" t="s">
        <v>25</v>
      </c>
      <c r="E7" s="0" t="s">
        <v>31</v>
      </c>
      <c r="F7" s="2" t="n">
        <v>957</v>
      </c>
      <c r="G7" s="2" t="n">
        <v>1952</v>
      </c>
      <c r="H7" s="2" t="n">
        <v>111</v>
      </c>
      <c r="I7" s="2" t="n">
        <v>802</v>
      </c>
      <c r="J7" s="2" t="n">
        <v>6792</v>
      </c>
      <c r="K7" s="0" t="n">
        <v>44.8</v>
      </c>
      <c r="L7" s="2" t="n">
        <f aca="false">F7+G7+H7+I7</f>
        <v>3822</v>
      </c>
      <c r="M7" s="2" t="n">
        <f aca="false">J7-L7</f>
        <v>2970</v>
      </c>
      <c r="N7" s="3" t="n">
        <f aca="false">ROUND((J7-L7)/L7*100,2)</f>
        <v>77.71</v>
      </c>
    </row>
    <row r="8" customFormat="false" ht="15" hidden="false" customHeight="false" outlineLevel="0" collapsed="false">
      <c r="A8" s="0" t="n">
        <v>7</v>
      </c>
      <c r="B8" s="0" t="s">
        <v>32</v>
      </c>
      <c r="C8" s="0" t="s">
        <v>24</v>
      </c>
      <c r="D8" s="0" t="s">
        <v>25</v>
      </c>
      <c r="E8" s="0" t="s">
        <v>33</v>
      </c>
      <c r="F8" s="2" t="n">
        <v>2393</v>
      </c>
      <c r="G8" s="2" t="n">
        <v>3400</v>
      </c>
      <c r="H8" s="2" t="n">
        <v>267</v>
      </c>
      <c r="I8" s="2" t="n">
        <v>951</v>
      </c>
      <c r="J8" s="2" t="n">
        <v>17273</v>
      </c>
      <c r="K8" s="0" t="n">
        <v>114.6</v>
      </c>
      <c r="L8" s="2" t="n">
        <f aca="false">F8+G8+H8+I8</f>
        <v>7011</v>
      </c>
      <c r="M8" s="2" t="n">
        <f aca="false">J8-L8</f>
        <v>10262</v>
      </c>
      <c r="N8" s="3" t="n">
        <f aca="false">ROUND((J8-L8)/L8*100,2)</f>
        <v>146.37</v>
      </c>
    </row>
    <row r="9" customFormat="false" ht="15" hidden="false" customHeight="false" outlineLevel="0" collapsed="false">
      <c r="A9" s="0" t="n">
        <v>8</v>
      </c>
      <c r="B9" s="0" t="s">
        <v>34</v>
      </c>
      <c r="C9" s="0" t="s">
        <v>15</v>
      </c>
      <c r="D9" s="0" t="s">
        <v>16</v>
      </c>
      <c r="E9" s="0" t="s">
        <v>35</v>
      </c>
      <c r="F9" s="2" t="n">
        <v>1436</v>
      </c>
      <c r="G9" s="2" t="n">
        <v>9281</v>
      </c>
      <c r="H9" s="2" t="n">
        <v>1238</v>
      </c>
      <c r="I9" s="2" t="n">
        <v>6149</v>
      </c>
      <c r="J9" s="2" t="n">
        <v>23847</v>
      </c>
      <c r="K9" s="0" t="n">
        <v>334.8</v>
      </c>
      <c r="L9" s="2" t="n">
        <f aca="false">F9+G9+H9+I9</f>
        <v>18104</v>
      </c>
      <c r="M9" s="2" t="n">
        <f aca="false">J9-L9</f>
        <v>5743</v>
      </c>
      <c r="N9" s="3" t="n">
        <f aca="false">ROUND((J9-L9)/L9*100,2)</f>
        <v>31.72</v>
      </c>
    </row>
    <row r="10" customFormat="false" ht="15" hidden="false" customHeight="false" outlineLevel="0" collapsed="false">
      <c r="A10" s="0" t="n">
        <v>9</v>
      </c>
      <c r="B10" s="0" t="s">
        <v>36</v>
      </c>
      <c r="C10" s="0" t="s">
        <v>21</v>
      </c>
      <c r="D10" s="0" t="s">
        <v>16</v>
      </c>
      <c r="E10" s="0" t="s">
        <v>37</v>
      </c>
      <c r="F10" s="2" t="n">
        <v>579</v>
      </c>
      <c r="G10" s="2" t="n">
        <v>1830</v>
      </c>
      <c r="H10" s="2" t="n">
        <v>671</v>
      </c>
      <c r="I10" s="2" t="n">
        <v>899</v>
      </c>
      <c r="J10" s="2" t="n">
        <v>11514</v>
      </c>
      <c r="K10" s="0" t="n">
        <v>44.8</v>
      </c>
      <c r="L10" s="2" t="n">
        <f aca="false">F10+G10+H10+I10</f>
        <v>3979</v>
      </c>
      <c r="M10" s="2" t="n">
        <f aca="false">J10-L10</f>
        <v>7535</v>
      </c>
      <c r="N10" s="3" t="n">
        <f aca="false">ROUND((J10-L10)/L10*100,2)</f>
        <v>189.37</v>
      </c>
    </row>
    <row r="11" customFormat="false" ht="15" hidden="false" customHeight="false" outlineLevel="0" collapsed="false">
      <c r="A11" s="0" t="n">
        <v>10</v>
      </c>
      <c r="B11" s="0" t="s">
        <v>38</v>
      </c>
      <c r="C11" s="0" t="s">
        <v>28</v>
      </c>
      <c r="D11" s="0" t="s">
        <v>25</v>
      </c>
      <c r="E11" s="0" t="s">
        <v>39</v>
      </c>
      <c r="F11" s="2" t="n">
        <v>996</v>
      </c>
      <c r="G11" s="2" t="n">
        <v>1051</v>
      </c>
      <c r="H11" s="2" t="n">
        <v>298</v>
      </c>
      <c r="I11" s="2" t="n">
        <v>822</v>
      </c>
      <c r="J11" s="2" t="n">
        <v>8819</v>
      </c>
      <c r="K11" s="0" t="n">
        <v>26.9</v>
      </c>
      <c r="L11" s="2" t="n">
        <f aca="false">F11+G11+H11+I11</f>
        <v>3167</v>
      </c>
      <c r="M11" s="2" t="n">
        <f aca="false">J11-L11</f>
        <v>5652</v>
      </c>
      <c r="N11" s="3" t="n">
        <f aca="false">ROUND((J11-L11)/L11*100,2)</f>
        <v>178.47</v>
      </c>
    </row>
    <row r="12" customFormat="false" ht="15" hidden="false" customHeight="false" outlineLevel="0" collapsed="false">
      <c r="A12" s="0" t="n">
        <v>11</v>
      </c>
      <c r="B12" s="0" t="s">
        <v>40</v>
      </c>
      <c r="C12" s="0" t="s">
        <v>41</v>
      </c>
      <c r="D12" s="0" t="s">
        <v>42</v>
      </c>
      <c r="E12" s="0" t="s">
        <v>43</v>
      </c>
      <c r="F12" s="2" t="n">
        <v>1</v>
      </c>
      <c r="G12" s="2" t="n">
        <v>577</v>
      </c>
      <c r="H12" s="2" t="n">
        <v>258</v>
      </c>
      <c r="I12" s="2" t="n">
        <v>209</v>
      </c>
      <c r="J12" s="2" t="n">
        <v>2995</v>
      </c>
      <c r="K12" s="0" t="n">
        <v>14.8</v>
      </c>
      <c r="L12" s="2" t="n">
        <f aca="false">F12+G12+H12+I12</f>
        <v>1045</v>
      </c>
      <c r="M12" s="2" t="n">
        <f aca="false">J12-L12</f>
        <v>1950</v>
      </c>
      <c r="N12" s="3" t="n">
        <f aca="false">ROUND((J12-L12)/L12*100,2)</f>
        <v>186.6</v>
      </c>
    </row>
    <row r="13" customFormat="false" ht="15" hidden="false" customHeight="false" outlineLevel="0" collapsed="false">
      <c r="A13" s="0" t="n">
        <v>12</v>
      </c>
      <c r="B13" s="0" t="s">
        <v>44</v>
      </c>
      <c r="C13" s="0" t="s">
        <v>41</v>
      </c>
      <c r="D13" s="0" t="s">
        <v>42</v>
      </c>
      <c r="E13" s="0" t="s">
        <v>45</v>
      </c>
      <c r="F13" s="2" t="n">
        <v>87</v>
      </c>
      <c r="G13" s="2" t="n">
        <v>1435</v>
      </c>
      <c r="H13" s="2" t="n">
        <v>242</v>
      </c>
      <c r="I13" s="2" t="n">
        <v>324</v>
      </c>
      <c r="J13" s="2" t="n">
        <v>4793</v>
      </c>
      <c r="K13" s="0" t="n">
        <v>45.8</v>
      </c>
      <c r="L13" s="2" t="n">
        <f aca="false">F13+G13+H13+I13</f>
        <v>2088</v>
      </c>
      <c r="M13" s="2" t="n">
        <f aca="false">J13-L13</f>
        <v>2705</v>
      </c>
      <c r="N13" s="3" t="n">
        <f aca="false">ROUND((J13-L13)/L13*100,2)</f>
        <v>129.55</v>
      </c>
    </row>
    <row r="14" customFormat="false" ht="15" hidden="false" customHeight="false" outlineLevel="0" collapsed="false">
      <c r="A14" s="0" t="n">
        <v>13</v>
      </c>
      <c r="B14" s="0" t="s">
        <v>46</v>
      </c>
      <c r="C14" s="0" t="s">
        <v>15</v>
      </c>
      <c r="D14" s="0" t="s">
        <v>16</v>
      </c>
      <c r="E14" s="0" t="s">
        <v>47</v>
      </c>
      <c r="F14" s="2" t="n">
        <v>683</v>
      </c>
      <c r="G14" s="2" t="n">
        <v>9710</v>
      </c>
      <c r="H14" s="2" t="n">
        <v>1357</v>
      </c>
      <c r="I14" s="2" t="n">
        <v>5832</v>
      </c>
      <c r="J14" s="2" t="n">
        <v>33853</v>
      </c>
      <c r="K14" s="0" t="n">
        <v>260.4</v>
      </c>
      <c r="L14" s="2" t="n">
        <f aca="false">F14+G14+H14+I14</f>
        <v>17582</v>
      </c>
      <c r="M14" s="2" t="n">
        <f aca="false">J14-L14</f>
        <v>16271</v>
      </c>
      <c r="N14" s="3" t="n">
        <f aca="false">ROUND((J14-L14)/L14*100,2)</f>
        <v>92.54</v>
      </c>
    </row>
    <row r="15" customFormat="false" ht="15" hidden="false" customHeight="false" outlineLevel="0" collapsed="false">
      <c r="A15" s="0" t="n">
        <v>14</v>
      </c>
      <c r="B15" s="0" t="s">
        <v>48</v>
      </c>
      <c r="C15" s="0" t="s">
        <v>15</v>
      </c>
      <c r="D15" s="0" t="s">
        <v>16</v>
      </c>
      <c r="E15" s="0" t="s">
        <v>49</v>
      </c>
      <c r="F15" s="2" t="n">
        <v>1030</v>
      </c>
      <c r="G15" s="2" t="n">
        <v>8778</v>
      </c>
      <c r="H15" s="2" t="n">
        <v>2343</v>
      </c>
      <c r="I15" s="2" t="n">
        <v>5805</v>
      </c>
      <c r="J15" s="2" t="n">
        <v>38677</v>
      </c>
      <c r="K15" s="0" t="n">
        <v>204.9</v>
      </c>
      <c r="L15" s="2" t="n">
        <f aca="false">F15+G15+H15+I15</f>
        <v>17956</v>
      </c>
      <c r="M15" s="2" t="n">
        <f aca="false">J15-L15</f>
        <v>20721</v>
      </c>
      <c r="N15" s="3" t="n">
        <f aca="false">ROUND((J15-L15)/L15*100,2)</f>
        <v>115.4</v>
      </c>
    </row>
    <row r="16" customFormat="false" ht="15" hidden="false" customHeight="false" outlineLevel="0" collapsed="false">
      <c r="A16" s="0" t="n">
        <v>15</v>
      </c>
      <c r="B16" s="0" t="s">
        <v>50</v>
      </c>
      <c r="C16" s="0" t="s">
        <v>41</v>
      </c>
      <c r="D16" s="0" t="s">
        <v>42</v>
      </c>
      <c r="E16" s="0" t="s">
        <v>51</v>
      </c>
      <c r="F16" s="2" t="n">
        <v>86</v>
      </c>
      <c r="G16" s="2" t="n">
        <v>664</v>
      </c>
      <c r="H16" s="2" t="n">
        <v>381</v>
      </c>
      <c r="I16" s="2" t="n">
        <v>220</v>
      </c>
      <c r="J16" s="2" t="n">
        <v>3305</v>
      </c>
      <c r="K16" s="0" t="n">
        <v>19.2</v>
      </c>
      <c r="L16" s="2" t="n">
        <f aca="false">F16+G16+H16+I16</f>
        <v>1351</v>
      </c>
      <c r="M16" s="2" t="n">
        <f aca="false">J16-L16</f>
        <v>1954</v>
      </c>
      <c r="N16" s="3" t="n">
        <f aca="false">ROUND((J16-L16)/L16*100,2)</f>
        <v>144.63</v>
      </c>
    </row>
    <row r="17" customFormat="false" ht="15" hidden="false" customHeight="false" outlineLevel="0" collapsed="false">
      <c r="A17" s="0" t="n">
        <v>16</v>
      </c>
      <c r="B17" s="0" t="s">
        <v>52</v>
      </c>
      <c r="C17" s="0" t="s">
        <v>21</v>
      </c>
      <c r="D17" s="0" t="s">
        <v>16</v>
      </c>
      <c r="E17" s="0" t="s">
        <v>53</v>
      </c>
      <c r="F17" s="2" t="n">
        <v>574</v>
      </c>
      <c r="G17" s="2" t="n">
        <v>2086</v>
      </c>
      <c r="H17" s="2" t="n">
        <v>346</v>
      </c>
      <c r="I17" s="2" t="n">
        <v>1489</v>
      </c>
      <c r="J17" s="2" t="n">
        <v>13639</v>
      </c>
      <c r="K17" s="0" t="n">
        <v>54.5</v>
      </c>
      <c r="L17" s="2" t="n">
        <f aca="false">F17+G17+H17+I17</f>
        <v>4495</v>
      </c>
      <c r="M17" s="2" t="n">
        <f aca="false">J17-L17</f>
        <v>9144</v>
      </c>
      <c r="N17" s="3" t="n">
        <f aca="false">ROUND((J17-L17)/L17*100,2)</f>
        <v>203.43</v>
      </c>
    </row>
    <row r="18" customFormat="false" ht="15" hidden="false" customHeight="false" outlineLevel="0" collapsed="false">
      <c r="A18" s="0" t="n">
        <v>17</v>
      </c>
      <c r="B18" s="0" t="s">
        <v>54</v>
      </c>
      <c r="C18" s="0" t="s">
        <v>41</v>
      </c>
      <c r="D18" s="0" t="s">
        <v>42</v>
      </c>
      <c r="E18" s="0" t="s">
        <v>55</v>
      </c>
      <c r="F18" s="2" t="n">
        <v>41</v>
      </c>
      <c r="G18" s="2" t="n">
        <v>875</v>
      </c>
      <c r="H18" s="2" t="n">
        <v>160</v>
      </c>
      <c r="I18" s="2" t="n">
        <v>265</v>
      </c>
      <c r="J18" s="2" t="n">
        <v>3438</v>
      </c>
      <c r="K18" s="0" t="n">
        <v>20.2</v>
      </c>
      <c r="L18" s="2" t="n">
        <f aca="false">F18+G18+H18+I18</f>
        <v>1341</v>
      </c>
      <c r="M18" s="2" t="n">
        <f aca="false">J18-L18</f>
        <v>2097</v>
      </c>
      <c r="N18" s="3" t="n">
        <f aca="false">ROUND((J18-L18)/L18*100,2)</f>
        <v>156.38</v>
      </c>
    </row>
    <row r="19" customFormat="false" ht="15" hidden="false" customHeight="false" outlineLevel="0" collapsed="false">
      <c r="A19" s="0" t="n">
        <v>18</v>
      </c>
      <c r="B19" s="0" t="s">
        <v>56</v>
      </c>
      <c r="C19" s="0" t="s">
        <v>28</v>
      </c>
      <c r="D19" s="0" t="s">
        <v>25</v>
      </c>
      <c r="E19" s="0" t="s">
        <v>49</v>
      </c>
      <c r="F19" s="2" t="n">
        <v>869</v>
      </c>
      <c r="G19" s="2" t="n">
        <v>1647</v>
      </c>
      <c r="H19" s="2" t="n">
        <v>284</v>
      </c>
      <c r="I19" s="2" t="n">
        <v>713</v>
      </c>
      <c r="J19" s="2" t="n">
        <v>7418</v>
      </c>
      <c r="K19" s="0" t="n">
        <v>59.8</v>
      </c>
      <c r="L19" s="2" t="n">
        <f aca="false">F19+G19+H19+I19</f>
        <v>3513</v>
      </c>
      <c r="M19" s="2" t="n">
        <f aca="false">J19-L19</f>
        <v>3905</v>
      </c>
      <c r="N19" s="3" t="n">
        <f aca="false">ROUND((J19-L19)/L19*100,2)</f>
        <v>111.16</v>
      </c>
    </row>
    <row r="20" customFormat="false" ht="15" hidden="false" customHeight="false" outlineLevel="0" collapsed="false">
      <c r="A20" s="0" t="n">
        <v>19</v>
      </c>
      <c r="B20" s="0" t="s">
        <v>57</v>
      </c>
      <c r="C20" s="0" t="s">
        <v>24</v>
      </c>
      <c r="D20" s="0" t="s">
        <v>25</v>
      </c>
      <c r="E20" s="0" t="s">
        <v>58</v>
      </c>
      <c r="F20" s="2" t="n">
        <v>951</v>
      </c>
      <c r="G20" s="2" t="n">
        <v>2647</v>
      </c>
      <c r="H20" s="2" t="n">
        <v>208</v>
      </c>
      <c r="I20" s="2" t="n">
        <v>1439</v>
      </c>
      <c r="J20" s="2" t="n">
        <v>15981</v>
      </c>
      <c r="K20" s="0" t="n">
        <v>100.3</v>
      </c>
      <c r="L20" s="2" t="n">
        <f aca="false">F20+G20+H20+I20</f>
        <v>5245</v>
      </c>
      <c r="M20" s="2" t="n">
        <f aca="false">J20-L20</f>
        <v>10736</v>
      </c>
      <c r="N20" s="3" t="n">
        <f aca="false">ROUND((J20-L20)/L20*100,2)</f>
        <v>204.69</v>
      </c>
    </row>
    <row r="21" customFormat="false" ht="15" hidden="false" customHeight="false" outlineLevel="0" collapsed="false">
      <c r="A21" s="0" t="n">
        <v>20</v>
      </c>
      <c r="B21" s="0" t="s">
        <v>59</v>
      </c>
      <c r="C21" s="0" t="s">
        <v>28</v>
      </c>
      <c r="D21" s="0" t="s">
        <v>25</v>
      </c>
      <c r="E21" s="0" t="s">
        <v>60</v>
      </c>
      <c r="F21" s="2" t="n">
        <v>490</v>
      </c>
      <c r="G21" s="2" t="n">
        <v>1331</v>
      </c>
      <c r="H21" s="2" t="n">
        <v>179</v>
      </c>
      <c r="I21" s="2" t="n">
        <v>399</v>
      </c>
      <c r="J21" s="2" t="n">
        <v>5820</v>
      </c>
      <c r="K21" s="0" t="n">
        <v>32.6</v>
      </c>
      <c r="L21" s="2" t="n">
        <f aca="false">F21+G21+H21+I21</f>
        <v>2399</v>
      </c>
      <c r="M21" s="2" t="n">
        <f aca="false">J21-L21</f>
        <v>3421</v>
      </c>
      <c r="N21" s="3" t="n">
        <f aca="false">ROUND((J21-L21)/L21*100,2)</f>
        <v>142.6</v>
      </c>
    </row>
    <row r="22" customFormat="false" ht="15" hidden="false" customHeight="false" outlineLevel="0" collapsed="false">
      <c r="A22" s="0" t="n">
        <v>21</v>
      </c>
      <c r="B22" s="0" t="s">
        <v>61</v>
      </c>
      <c r="C22" s="0" t="s">
        <v>41</v>
      </c>
      <c r="D22" s="0" t="s">
        <v>42</v>
      </c>
      <c r="E22" s="0" t="s">
        <v>62</v>
      </c>
      <c r="F22" s="2" t="n">
        <v>19</v>
      </c>
      <c r="G22" s="2" t="n">
        <v>1356</v>
      </c>
      <c r="H22" s="2" t="n">
        <v>388</v>
      </c>
      <c r="I22" s="2" t="n">
        <v>190</v>
      </c>
      <c r="J22" s="2" t="n">
        <v>3447</v>
      </c>
      <c r="K22" s="0" t="n">
        <v>44.3</v>
      </c>
      <c r="L22" s="2" t="n">
        <f aca="false">F22+G22+H22+I22</f>
        <v>1953</v>
      </c>
      <c r="M22" s="2" t="n">
        <f aca="false">J22-L22</f>
        <v>1494</v>
      </c>
      <c r="N22" s="3" t="n">
        <f aca="false">ROUND((J22-L22)/L22*100,2)</f>
        <v>76.5</v>
      </c>
    </row>
    <row r="23" customFormat="false" ht="15" hidden="false" customHeight="false" outlineLevel="0" collapsed="false">
      <c r="A23" s="0" t="n">
        <v>22</v>
      </c>
      <c r="B23" s="0" t="s">
        <v>63</v>
      </c>
      <c r="C23" s="0" t="s">
        <v>21</v>
      </c>
      <c r="D23" s="0" t="s">
        <v>16</v>
      </c>
      <c r="E23" s="0" t="s">
        <v>31</v>
      </c>
      <c r="F23" s="2" t="n">
        <v>642</v>
      </c>
      <c r="G23" s="2" t="n">
        <v>2567</v>
      </c>
      <c r="H23" s="2" t="n">
        <v>292</v>
      </c>
      <c r="I23" s="2" t="n">
        <v>1330</v>
      </c>
      <c r="J23" s="2" t="n">
        <v>8595</v>
      </c>
      <c r="K23" s="0" t="n">
        <v>62.7</v>
      </c>
      <c r="L23" s="2" t="n">
        <f aca="false">F23+G23+H23+I23</f>
        <v>4831</v>
      </c>
      <c r="M23" s="2" t="n">
        <f aca="false">J23-L23</f>
        <v>3764</v>
      </c>
      <c r="N23" s="3" t="n">
        <f aca="false">ROUND((J23-L23)/L23*100,2)</f>
        <v>77.91</v>
      </c>
    </row>
    <row r="24" customFormat="false" ht="15" hidden="false" customHeight="false" outlineLevel="0" collapsed="false">
      <c r="A24" s="0" t="n">
        <v>23</v>
      </c>
      <c r="B24" s="0" t="s">
        <v>64</v>
      </c>
      <c r="C24" s="0" t="s">
        <v>41</v>
      </c>
      <c r="D24" s="0" t="s">
        <v>42</v>
      </c>
      <c r="E24" s="0" t="s">
        <v>65</v>
      </c>
      <c r="F24" s="2" t="n">
        <v>31</v>
      </c>
      <c r="G24" s="2" t="n">
        <v>546</v>
      </c>
      <c r="H24" s="2" t="n">
        <v>367</v>
      </c>
      <c r="I24" s="2" t="n">
        <v>150</v>
      </c>
      <c r="J24" s="2" t="n">
        <v>3179</v>
      </c>
      <c r="K24" s="0" t="n">
        <v>19.6</v>
      </c>
      <c r="L24" s="2" t="n">
        <f aca="false">F24+G24+H24+I24</f>
        <v>1094</v>
      </c>
      <c r="M24" s="2" t="n">
        <f aca="false">J24-L24</f>
        <v>2085</v>
      </c>
      <c r="N24" s="3" t="n">
        <f aca="false">ROUND((J24-L24)/L24*100,2)</f>
        <v>190.59</v>
      </c>
    </row>
    <row r="25" customFormat="false" ht="15" hidden="false" customHeight="false" outlineLevel="0" collapsed="false">
      <c r="A25" s="0" t="n">
        <v>24</v>
      </c>
      <c r="B25" s="0" t="s">
        <v>66</v>
      </c>
      <c r="C25" s="0" t="s">
        <v>41</v>
      </c>
      <c r="D25" s="0" t="s">
        <v>42</v>
      </c>
      <c r="E25" s="0" t="s">
        <v>67</v>
      </c>
      <c r="F25" s="2" t="n">
        <v>79</v>
      </c>
      <c r="G25" s="2" t="n">
        <v>1358</v>
      </c>
      <c r="H25" s="2" t="n">
        <v>209</v>
      </c>
      <c r="I25" s="2" t="n">
        <v>327</v>
      </c>
      <c r="J25" s="2" t="n">
        <v>4215</v>
      </c>
      <c r="K25" s="0" t="n">
        <v>33</v>
      </c>
      <c r="L25" s="2" t="n">
        <f aca="false">F25+G25+H25+I25</f>
        <v>1973</v>
      </c>
      <c r="M25" s="2" t="n">
        <f aca="false">J25-L25</f>
        <v>2242</v>
      </c>
      <c r="N25" s="3" t="n">
        <f aca="false">ROUND((J25-L25)/L25*100,2)</f>
        <v>113.63</v>
      </c>
    </row>
    <row r="26" customFormat="false" ht="15" hidden="false" customHeight="false" outlineLevel="0" collapsed="false">
      <c r="A26" s="0" t="n">
        <v>25</v>
      </c>
      <c r="B26" s="0" t="s">
        <v>68</v>
      </c>
      <c r="C26" s="0" t="s">
        <v>28</v>
      </c>
      <c r="D26" s="0" t="s">
        <v>25</v>
      </c>
      <c r="E26" s="0" t="s">
        <v>69</v>
      </c>
      <c r="F26" s="2" t="n">
        <v>864</v>
      </c>
      <c r="G26" s="2" t="n">
        <v>1203</v>
      </c>
      <c r="H26" s="2" t="n">
        <v>240</v>
      </c>
      <c r="I26" s="2" t="n">
        <v>306</v>
      </c>
      <c r="J26" s="2" t="n">
        <v>6052</v>
      </c>
      <c r="K26" s="0" t="n">
        <v>28.2</v>
      </c>
      <c r="L26" s="2" t="n">
        <f aca="false">F26+G26+H26+I26</f>
        <v>2613</v>
      </c>
      <c r="M26" s="2" t="n">
        <f aca="false">J26-L26</f>
        <v>3439</v>
      </c>
      <c r="N26" s="3" t="n">
        <f aca="false">ROUND((J26-L26)/L26*100,2)</f>
        <v>131.61</v>
      </c>
    </row>
    <row r="27" customFormat="false" ht="15" hidden="false" customHeight="false" outlineLevel="0" collapsed="false">
      <c r="A27" s="0" t="n">
        <v>26</v>
      </c>
      <c r="B27" s="0" t="s">
        <v>70</v>
      </c>
      <c r="C27" s="0" t="s">
        <v>21</v>
      </c>
      <c r="D27" s="0" t="s">
        <v>16</v>
      </c>
      <c r="E27" s="0" t="s">
        <v>71</v>
      </c>
      <c r="F27" s="2" t="n">
        <v>482</v>
      </c>
      <c r="G27" s="2" t="n">
        <v>2854</v>
      </c>
      <c r="H27" s="2" t="n">
        <v>374</v>
      </c>
      <c r="I27" s="2" t="n">
        <v>1626</v>
      </c>
      <c r="J27" s="2" t="n">
        <v>14479</v>
      </c>
      <c r="K27" s="0" t="n">
        <v>78.5</v>
      </c>
      <c r="L27" s="2" t="n">
        <f aca="false">F27+G27+H27+I27</f>
        <v>5336</v>
      </c>
      <c r="M27" s="2" t="n">
        <f aca="false">J27-L27</f>
        <v>9143</v>
      </c>
      <c r="N27" s="3" t="n">
        <f aca="false">ROUND((J27-L27)/L27*100,2)</f>
        <v>171.35</v>
      </c>
    </row>
    <row r="28" customFormat="false" ht="15" hidden="false" customHeight="false" outlineLevel="0" collapsed="false">
      <c r="A28" s="0" t="n">
        <v>27</v>
      </c>
      <c r="B28" s="0" t="s">
        <v>72</v>
      </c>
      <c r="C28" s="0" t="s">
        <v>15</v>
      </c>
      <c r="D28" s="0" t="s">
        <v>16</v>
      </c>
      <c r="E28" s="0" t="s">
        <v>73</v>
      </c>
      <c r="F28" s="2" t="n">
        <v>589</v>
      </c>
      <c r="G28" s="2" t="n">
        <v>13879</v>
      </c>
      <c r="H28" s="2" t="n">
        <v>845</v>
      </c>
      <c r="I28" s="2" t="n">
        <v>4885</v>
      </c>
      <c r="J28" s="2" t="n">
        <v>54919</v>
      </c>
      <c r="K28" s="0" t="n">
        <v>341.9</v>
      </c>
      <c r="L28" s="2" t="n">
        <f aca="false">F28+G28+H28+I28</f>
        <v>20198</v>
      </c>
      <c r="M28" s="2" t="n">
        <f aca="false">J28-L28</f>
        <v>34721</v>
      </c>
      <c r="N28" s="3" t="n">
        <f aca="false">ROUND((J28-L28)/L28*100,2)</f>
        <v>171.9</v>
      </c>
    </row>
    <row r="29" customFormat="false" ht="15" hidden="false" customHeight="false" outlineLevel="0" collapsed="false">
      <c r="A29" s="0" t="n">
        <v>28</v>
      </c>
      <c r="B29" s="0" t="s">
        <v>74</v>
      </c>
      <c r="C29" s="0" t="s">
        <v>15</v>
      </c>
      <c r="D29" s="0" t="s">
        <v>16</v>
      </c>
      <c r="E29" s="0" t="s">
        <v>75</v>
      </c>
      <c r="F29" s="2" t="n">
        <v>1008</v>
      </c>
      <c r="G29" s="2" t="n">
        <v>11746</v>
      </c>
      <c r="H29" s="2" t="n">
        <v>883</v>
      </c>
      <c r="I29" s="2" t="n">
        <v>8826</v>
      </c>
      <c r="J29" s="2" t="n">
        <v>22954</v>
      </c>
      <c r="K29" s="0" t="n">
        <v>413.8</v>
      </c>
      <c r="L29" s="2" t="n">
        <f aca="false">F29+G29+H29+I29</f>
        <v>22463</v>
      </c>
      <c r="M29" s="2" t="n">
        <f aca="false">J29-L29</f>
        <v>491</v>
      </c>
      <c r="N29" s="3" t="n">
        <f aca="false">ROUND((J29-L29)/L29*100,2)</f>
        <v>2.19</v>
      </c>
    </row>
    <row r="30" customFormat="false" ht="15" hidden="false" customHeight="false" outlineLevel="0" collapsed="false">
      <c r="A30" s="0" t="n">
        <v>29</v>
      </c>
      <c r="B30" s="0" t="s">
        <v>76</v>
      </c>
      <c r="C30" s="0" t="s">
        <v>24</v>
      </c>
      <c r="D30" s="0" t="s">
        <v>25</v>
      </c>
      <c r="E30" s="0" t="s">
        <v>77</v>
      </c>
      <c r="F30" s="2" t="n">
        <v>2202</v>
      </c>
      <c r="G30" s="2" t="n">
        <v>1502</v>
      </c>
      <c r="H30" s="2" t="n">
        <v>209</v>
      </c>
      <c r="I30" s="2" t="n">
        <v>714</v>
      </c>
      <c r="J30" s="2" t="n">
        <v>14199</v>
      </c>
      <c r="K30" s="0" t="n">
        <v>46.2</v>
      </c>
      <c r="L30" s="2" t="n">
        <f aca="false">F30+G30+H30+I30</f>
        <v>4627</v>
      </c>
      <c r="M30" s="2" t="n">
        <f aca="false">J30-L30</f>
        <v>9572</v>
      </c>
      <c r="N30" s="3" t="n">
        <f aca="false">ROUND((J30-L30)/L30*100,2)</f>
        <v>206.87</v>
      </c>
    </row>
    <row r="31" customFormat="false" ht="15" hidden="false" customHeight="false" outlineLevel="0" collapsed="false">
      <c r="A31" s="0" t="n">
        <v>30</v>
      </c>
      <c r="B31" s="0" t="s">
        <v>78</v>
      </c>
      <c r="C31" s="0" t="s">
        <v>21</v>
      </c>
      <c r="D31" s="0" t="s">
        <v>16</v>
      </c>
      <c r="E31" s="0" t="s">
        <v>79</v>
      </c>
      <c r="F31" s="2" t="n">
        <v>611</v>
      </c>
      <c r="G31" s="2" t="n">
        <v>2033</v>
      </c>
      <c r="H31" s="2" t="n">
        <v>225</v>
      </c>
      <c r="I31" s="2" t="n">
        <v>900</v>
      </c>
      <c r="J31" s="2" t="n">
        <v>11361</v>
      </c>
      <c r="K31" s="0" t="n">
        <v>67.4</v>
      </c>
      <c r="L31" s="2" t="n">
        <f aca="false">F31+G31+H31+I31</f>
        <v>3769</v>
      </c>
      <c r="M31" s="2" t="n">
        <f aca="false">J31-L31</f>
        <v>7592</v>
      </c>
      <c r="N31" s="3" t="n">
        <f aca="false">ROUND((J31-L31)/L31*100,2)</f>
        <v>201.43</v>
      </c>
    </row>
    <row r="32" customFormat="false" ht="15" hidden="false" customHeight="false" outlineLevel="0" collapsed="false">
      <c r="A32" s="0" t="n">
        <v>31</v>
      </c>
      <c r="B32" s="0" t="s">
        <v>80</v>
      </c>
      <c r="C32" s="0" t="s">
        <v>21</v>
      </c>
      <c r="D32" s="0" t="s">
        <v>16</v>
      </c>
      <c r="E32" s="0" t="s">
        <v>81</v>
      </c>
      <c r="F32" s="2" t="n">
        <v>479</v>
      </c>
      <c r="G32" s="2" t="n">
        <v>2934</v>
      </c>
      <c r="H32" s="2" t="n">
        <v>692</v>
      </c>
      <c r="I32" s="2" t="n">
        <v>1112</v>
      </c>
      <c r="J32" s="2" t="n">
        <v>11195</v>
      </c>
      <c r="K32" s="0" t="n">
        <v>80.6</v>
      </c>
      <c r="L32" s="2" t="n">
        <f aca="false">F32+G32+H32+I32</f>
        <v>5217</v>
      </c>
      <c r="M32" s="2" t="n">
        <f aca="false">J32-L32</f>
        <v>5978</v>
      </c>
      <c r="N32" s="3" t="n">
        <f aca="false">ROUND((J32-L32)/L32*100,2)</f>
        <v>114.59</v>
      </c>
    </row>
    <row r="33" customFormat="false" ht="15" hidden="false" customHeight="false" outlineLevel="0" collapsed="false">
      <c r="A33" s="0" t="n">
        <v>32</v>
      </c>
      <c r="B33" s="0" t="s">
        <v>82</v>
      </c>
      <c r="C33" s="0" t="s">
        <v>41</v>
      </c>
      <c r="D33" s="0" t="s">
        <v>42</v>
      </c>
      <c r="E33" s="0" t="s">
        <v>83</v>
      </c>
      <c r="F33" s="2" t="n">
        <v>39</v>
      </c>
      <c r="G33" s="2" t="n">
        <v>1303</v>
      </c>
      <c r="H33" s="2" t="n">
        <v>359</v>
      </c>
      <c r="I33" s="2" t="n">
        <v>419</v>
      </c>
      <c r="J33" s="2" t="n">
        <v>5872</v>
      </c>
      <c r="K33" s="0" t="n">
        <v>35</v>
      </c>
      <c r="L33" s="2" t="n">
        <f aca="false">F33+G33+H33+I33</f>
        <v>2120</v>
      </c>
      <c r="M33" s="2" t="n">
        <f aca="false">J33-L33</f>
        <v>3752</v>
      </c>
      <c r="N33" s="3" t="n">
        <f aca="false">ROUND((J33-L33)/L33*100,2)</f>
        <v>176.98</v>
      </c>
    </row>
    <row r="34" customFormat="false" ht="15" hidden="false" customHeight="false" outlineLevel="0" collapsed="false">
      <c r="A34" s="0" t="n">
        <v>33</v>
      </c>
      <c r="B34" s="0" t="s">
        <v>84</v>
      </c>
      <c r="C34" s="0" t="s">
        <v>21</v>
      </c>
      <c r="D34" s="0" t="s">
        <v>16</v>
      </c>
      <c r="E34" s="0" t="s">
        <v>85</v>
      </c>
      <c r="F34" s="2" t="n">
        <v>569</v>
      </c>
      <c r="G34" s="2" t="n">
        <v>1236</v>
      </c>
      <c r="H34" s="2" t="n">
        <v>560</v>
      </c>
      <c r="I34" s="2" t="n">
        <v>1535</v>
      </c>
      <c r="J34" s="2" t="n">
        <v>11611</v>
      </c>
      <c r="K34" s="0" t="n">
        <v>27.5</v>
      </c>
      <c r="L34" s="2" t="n">
        <f aca="false">F34+G34+H34+I34</f>
        <v>3900</v>
      </c>
      <c r="M34" s="2" t="n">
        <f aca="false">J34-L34</f>
        <v>7711</v>
      </c>
      <c r="N34" s="3" t="n">
        <f aca="false">ROUND((J34-L34)/L34*100,2)</f>
        <v>197.72</v>
      </c>
    </row>
    <row r="35" customFormat="false" ht="15" hidden="false" customHeight="false" outlineLevel="0" collapsed="false">
      <c r="A35" s="0" t="n">
        <v>34</v>
      </c>
      <c r="B35" s="0" t="s">
        <v>86</v>
      </c>
      <c r="C35" s="0" t="s">
        <v>15</v>
      </c>
      <c r="D35" s="0" t="s">
        <v>16</v>
      </c>
      <c r="E35" s="0" t="s">
        <v>87</v>
      </c>
      <c r="F35" s="2" t="n">
        <v>763</v>
      </c>
      <c r="G35" s="2" t="n">
        <v>12819</v>
      </c>
      <c r="H35" s="2" t="n">
        <v>2291</v>
      </c>
      <c r="I35" s="2" t="n">
        <v>5704</v>
      </c>
      <c r="J35" s="2" t="n">
        <v>35344</v>
      </c>
      <c r="K35" s="0" t="n">
        <v>350.1</v>
      </c>
      <c r="L35" s="2" t="n">
        <f aca="false">F35+G35+H35+I35</f>
        <v>21577</v>
      </c>
      <c r="M35" s="2" t="n">
        <f aca="false">J35-L35</f>
        <v>13767</v>
      </c>
      <c r="N35" s="3" t="n">
        <f aca="false">ROUND((J35-L35)/L35*100,2)</f>
        <v>63.8</v>
      </c>
    </row>
    <row r="36" customFormat="false" ht="15" hidden="false" customHeight="false" outlineLevel="0" collapsed="false">
      <c r="A36" s="0" t="n">
        <v>35</v>
      </c>
      <c r="B36" s="0" t="s">
        <v>88</v>
      </c>
      <c r="C36" s="0" t="s">
        <v>21</v>
      </c>
      <c r="D36" s="0" t="s">
        <v>16</v>
      </c>
      <c r="E36" s="0" t="s">
        <v>89</v>
      </c>
      <c r="F36" s="2" t="n">
        <v>503</v>
      </c>
      <c r="G36" s="2" t="n">
        <v>1055</v>
      </c>
      <c r="H36" s="2" t="n">
        <v>207</v>
      </c>
      <c r="I36" s="2" t="n">
        <v>1001</v>
      </c>
      <c r="J36" s="2" t="n">
        <v>7856</v>
      </c>
      <c r="K36" s="0" t="n">
        <v>31.8</v>
      </c>
      <c r="L36" s="2" t="n">
        <f aca="false">F36+G36+H36+I36</f>
        <v>2766</v>
      </c>
      <c r="M36" s="2" t="n">
        <f aca="false">J36-L36</f>
        <v>5090</v>
      </c>
      <c r="N36" s="3" t="n">
        <f aca="false">ROUND((J36-L36)/L36*100,2)</f>
        <v>184.02</v>
      </c>
    </row>
    <row r="37" customFormat="false" ht="15" hidden="false" customHeight="false" outlineLevel="0" collapsed="false">
      <c r="A37" s="0" t="n">
        <v>36</v>
      </c>
      <c r="B37" s="0" t="s">
        <v>90</v>
      </c>
      <c r="C37" s="0" t="s">
        <v>24</v>
      </c>
      <c r="D37" s="0" t="s">
        <v>25</v>
      </c>
      <c r="E37" s="0" t="s">
        <v>91</v>
      </c>
      <c r="F37" s="2" t="n">
        <v>886</v>
      </c>
      <c r="G37" s="2" t="n">
        <v>2099</v>
      </c>
      <c r="H37" s="2" t="n">
        <v>209</v>
      </c>
      <c r="I37" s="2" t="n">
        <v>952</v>
      </c>
      <c r="J37" s="2" t="n">
        <v>7732</v>
      </c>
      <c r="K37" s="0" t="n">
        <v>50.4</v>
      </c>
      <c r="L37" s="2" t="n">
        <f aca="false">F37+G37+H37+I37</f>
        <v>4146</v>
      </c>
      <c r="M37" s="2" t="n">
        <f aca="false">J37-L37</f>
        <v>3586</v>
      </c>
      <c r="N37" s="3" t="n">
        <f aca="false">ROUND((J37-L37)/L37*100,2)</f>
        <v>86.49</v>
      </c>
    </row>
    <row r="38" customFormat="false" ht="15" hidden="false" customHeight="false" outlineLevel="0" collapsed="false">
      <c r="A38" s="0" t="n">
        <v>37</v>
      </c>
      <c r="B38" s="0" t="s">
        <v>92</v>
      </c>
      <c r="C38" s="0" t="s">
        <v>41</v>
      </c>
      <c r="D38" s="0" t="s">
        <v>42</v>
      </c>
      <c r="E38" s="0" t="s">
        <v>93</v>
      </c>
      <c r="F38" s="2" t="n">
        <v>51</v>
      </c>
      <c r="G38" s="2" t="n">
        <v>1490</v>
      </c>
      <c r="H38" s="2" t="n">
        <v>364</v>
      </c>
      <c r="I38" s="2" t="n">
        <v>227</v>
      </c>
      <c r="J38" s="2" t="n">
        <v>3468</v>
      </c>
      <c r="K38" s="0" t="n">
        <v>46.2</v>
      </c>
      <c r="L38" s="2" t="n">
        <f aca="false">F38+G38+H38+I38</f>
        <v>2132</v>
      </c>
      <c r="M38" s="2" t="n">
        <f aca="false">J38-L38</f>
        <v>1336</v>
      </c>
      <c r="N38" s="3" t="n">
        <f aca="false">ROUND((J38-L38)/L38*100,2)</f>
        <v>62.66</v>
      </c>
    </row>
    <row r="39" customFormat="false" ht="15" hidden="false" customHeight="false" outlineLevel="0" collapsed="false">
      <c r="A39" s="0" t="n">
        <v>38</v>
      </c>
      <c r="B39" s="0" t="s">
        <v>94</v>
      </c>
      <c r="C39" s="0" t="s">
        <v>24</v>
      </c>
      <c r="D39" s="0" t="s">
        <v>25</v>
      </c>
      <c r="E39" s="0" t="s">
        <v>95</v>
      </c>
      <c r="F39" s="2" t="n">
        <v>2275</v>
      </c>
      <c r="G39" s="2" t="n">
        <v>1781</v>
      </c>
      <c r="H39" s="2" t="n">
        <v>164</v>
      </c>
      <c r="I39" s="2" t="n">
        <v>733</v>
      </c>
      <c r="J39" s="2" t="n">
        <v>11207</v>
      </c>
      <c r="K39" s="0" t="n">
        <v>47.7</v>
      </c>
      <c r="L39" s="2" t="n">
        <f aca="false">F39+G39+H39+I39</f>
        <v>4953</v>
      </c>
      <c r="M39" s="2" t="n">
        <f aca="false">J39-L39</f>
        <v>6254</v>
      </c>
      <c r="N39" s="3" t="n">
        <f aca="false">ROUND((J39-L39)/L39*100,2)</f>
        <v>126.27</v>
      </c>
    </row>
    <row r="40" customFormat="false" ht="15" hidden="false" customHeight="false" outlineLevel="0" collapsed="false">
      <c r="A40" s="0" t="n">
        <v>39</v>
      </c>
      <c r="B40" s="0" t="s">
        <v>96</v>
      </c>
      <c r="C40" s="0" t="s">
        <v>41</v>
      </c>
      <c r="D40" s="0" t="s">
        <v>42</v>
      </c>
      <c r="E40" s="0" t="s">
        <v>97</v>
      </c>
      <c r="F40" s="2" t="n">
        <v>6</v>
      </c>
      <c r="G40" s="2" t="n">
        <v>865</v>
      </c>
      <c r="H40" s="2" t="n">
        <v>370</v>
      </c>
      <c r="I40" s="2" t="n">
        <v>179</v>
      </c>
      <c r="J40" s="2" t="n">
        <v>2395</v>
      </c>
      <c r="K40" s="0" t="n">
        <v>22.6</v>
      </c>
      <c r="L40" s="2" t="n">
        <f aca="false">F40+G40+H40+I40</f>
        <v>1420</v>
      </c>
      <c r="M40" s="2" t="n">
        <f aca="false">J40-L40</f>
        <v>975</v>
      </c>
      <c r="N40" s="3" t="n">
        <f aca="false">ROUND((J40-L40)/L40*100,2)</f>
        <v>68.66</v>
      </c>
    </row>
    <row r="41" customFormat="false" ht="15" hidden="false" customHeight="false" outlineLevel="0" collapsed="false">
      <c r="A41" s="0" t="n">
        <v>40</v>
      </c>
      <c r="B41" s="0" t="s">
        <v>98</v>
      </c>
      <c r="C41" s="0" t="s">
        <v>41</v>
      </c>
      <c r="D41" s="0" t="s">
        <v>42</v>
      </c>
      <c r="E41" s="0" t="s">
        <v>99</v>
      </c>
      <c r="F41" s="2" t="n">
        <v>47</v>
      </c>
      <c r="G41" s="2" t="n">
        <v>657</v>
      </c>
      <c r="H41" s="2" t="n">
        <v>266</v>
      </c>
      <c r="I41" s="2" t="n">
        <v>248</v>
      </c>
      <c r="J41" s="2" t="n">
        <v>2829</v>
      </c>
      <c r="K41" s="0" t="n">
        <v>15.1</v>
      </c>
      <c r="L41" s="2" t="n">
        <f aca="false">F41+G41+H41+I41</f>
        <v>1218</v>
      </c>
      <c r="M41" s="2" t="n">
        <f aca="false">J41-L41</f>
        <v>1611</v>
      </c>
      <c r="N41" s="3" t="n">
        <f aca="false">ROUND((J41-L41)/L41*100,2)</f>
        <v>132.27</v>
      </c>
    </row>
    <row r="42" customFormat="false" ht="15" hidden="false" customHeight="false" outlineLevel="0" collapsed="false">
      <c r="A42" s="0" t="n">
        <v>41</v>
      </c>
      <c r="B42" s="0" t="s">
        <v>100</v>
      </c>
      <c r="C42" s="0" t="s">
        <v>24</v>
      </c>
      <c r="D42" s="0" t="s">
        <v>25</v>
      </c>
      <c r="E42" s="0" t="s">
        <v>53</v>
      </c>
      <c r="F42" s="2" t="n">
        <v>1928</v>
      </c>
      <c r="G42" s="2" t="n">
        <v>1840</v>
      </c>
      <c r="H42" s="2" t="n">
        <v>230</v>
      </c>
      <c r="I42" s="2" t="n">
        <v>822</v>
      </c>
      <c r="J42" s="2" t="n">
        <v>13324</v>
      </c>
      <c r="K42" s="0" t="n">
        <v>71.9</v>
      </c>
      <c r="L42" s="2" t="n">
        <f aca="false">F42+G42+H42+I42</f>
        <v>4820</v>
      </c>
      <c r="M42" s="2" t="n">
        <f aca="false">J42-L42</f>
        <v>8504</v>
      </c>
      <c r="N42" s="3" t="n">
        <f aca="false">ROUND((J42-L42)/L42*100,2)</f>
        <v>176.43</v>
      </c>
    </row>
    <row r="43" customFormat="false" ht="15" hidden="false" customHeight="false" outlineLevel="0" collapsed="false">
      <c r="A43" s="0" t="n">
        <v>42</v>
      </c>
      <c r="B43" s="0" t="s">
        <v>101</v>
      </c>
      <c r="C43" s="0" t="s">
        <v>21</v>
      </c>
      <c r="D43" s="0" t="s">
        <v>16</v>
      </c>
      <c r="E43" s="0" t="s">
        <v>102</v>
      </c>
      <c r="F43" s="2" t="n">
        <v>361</v>
      </c>
      <c r="G43" s="2" t="n">
        <v>1579</v>
      </c>
      <c r="H43" s="2" t="n">
        <v>674</v>
      </c>
      <c r="I43" s="2" t="n">
        <v>695</v>
      </c>
      <c r="J43" s="2" t="n">
        <v>9343</v>
      </c>
      <c r="K43" s="0" t="n">
        <v>46.1</v>
      </c>
      <c r="L43" s="2" t="n">
        <f aca="false">F43+G43+H43+I43</f>
        <v>3309</v>
      </c>
      <c r="M43" s="2" t="n">
        <f aca="false">J43-L43</f>
        <v>6034</v>
      </c>
      <c r="N43" s="3" t="n">
        <f aca="false">ROUND((J43-L43)/L43*100,2)</f>
        <v>182.35</v>
      </c>
    </row>
    <row r="44" customFormat="false" ht="15" hidden="false" customHeight="false" outlineLevel="0" collapsed="false">
      <c r="A44" s="0" t="n">
        <v>43</v>
      </c>
      <c r="B44" s="0" t="s">
        <v>103</v>
      </c>
      <c r="C44" s="0" t="s">
        <v>24</v>
      </c>
      <c r="D44" s="0" t="s">
        <v>25</v>
      </c>
      <c r="E44" s="0" t="s">
        <v>104</v>
      </c>
      <c r="F44" s="2" t="n">
        <v>2220</v>
      </c>
      <c r="G44" s="2" t="n">
        <v>1671</v>
      </c>
      <c r="H44" s="2" t="n">
        <v>302</v>
      </c>
      <c r="I44" s="2" t="n">
        <v>1487</v>
      </c>
      <c r="J44" s="2" t="n">
        <v>12583</v>
      </c>
      <c r="K44" s="0" t="n">
        <v>44</v>
      </c>
      <c r="L44" s="2" t="n">
        <f aca="false">F44+G44+H44+I44</f>
        <v>5680</v>
      </c>
      <c r="M44" s="2" t="n">
        <f aca="false">J44-L44</f>
        <v>6903</v>
      </c>
      <c r="N44" s="3" t="n">
        <f aca="false">ROUND((J44-L44)/L44*100,2)</f>
        <v>121.53</v>
      </c>
    </row>
    <row r="45" customFormat="false" ht="15" hidden="false" customHeight="false" outlineLevel="0" collapsed="false">
      <c r="A45" s="0" t="n">
        <v>44</v>
      </c>
      <c r="B45" s="0" t="s">
        <v>105</v>
      </c>
      <c r="C45" s="0" t="s">
        <v>28</v>
      </c>
      <c r="D45" s="0" t="s">
        <v>25</v>
      </c>
      <c r="E45" s="0" t="s">
        <v>106</v>
      </c>
      <c r="F45" s="2" t="n">
        <v>1094</v>
      </c>
      <c r="G45" s="2" t="n">
        <v>1701</v>
      </c>
      <c r="H45" s="2" t="n">
        <v>206</v>
      </c>
      <c r="I45" s="2" t="n">
        <v>892</v>
      </c>
      <c r="J45" s="2" t="n">
        <v>13249</v>
      </c>
      <c r="K45" s="0" t="n">
        <v>57.8</v>
      </c>
      <c r="L45" s="2" t="n">
        <f aca="false">F45+G45+H45+I45</f>
        <v>3893</v>
      </c>
      <c r="M45" s="2" t="n">
        <f aca="false">J45-L45</f>
        <v>9356</v>
      </c>
      <c r="N45" s="3" t="n">
        <f aca="false">ROUND((J45-L45)/L45*100,2)</f>
        <v>240.33</v>
      </c>
    </row>
    <row r="46" customFormat="false" ht="15" hidden="false" customHeight="false" outlineLevel="0" collapsed="false">
      <c r="A46" s="0" t="n">
        <v>45</v>
      </c>
      <c r="B46" s="0" t="s">
        <v>107</v>
      </c>
      <c r="C46" s="0" t="s">
        <v>15</v>
      </c>
      <c r="D46" s="0" t="s">
        <v>16</v>
      </c>
      <c r="E46" s="0" t="s">
        <v>108</v>
      </c>
      <c r="F46" s="2" t="n">
        <v>834</v>
      </c>
      <c r="G46" s="2" t="n">
        <v>12631</v>
      </c>
      <c r="H46" s="2" t="n">
        <v>2163</v>
      </c>
      <c r="I46" s="2" t="n">
        <v>5052</v>
      </c>
      <c r="J46" s="2" t="n">
        <v>26412</v>
      </c>
      <c r="K46" s="0" t="n">
        <v>307.2</v>
      </c>
      <c r="L46" s="2" t="n">
        <f aca="false">F46+G46+H46+I46</f>
        <v>20680</v>
      </c>
      <c r="M46" s="2" t="n">
        <f aca="false">J46-L46</f>
        <v>5732</v>
      </c>
      <c r="N46" s="3" t="n">
        <f aca="false">ROUND((J46-L46)/L46*100,2)</f>
        <v>27.72</v>
      </c>
    </row>
    <row r="47" customFormat="false" ht="15" hidden="false" customHeight="false" outlineLevel="0" collapsed="false">
      <c r="A47" s="0" t="n">
        <v>46</v>
      </c>
      <c r="B47" s="0" t="s">
        <v>109</v>
      </c>
      <c r="C47" s="0" t="s">
        <v>21</v>
      </c>
      <c r="D47" s="0" t="s">
        <v>16</v>
      </c>
      <c r="E47" s="0" t="s">
        <v>110</v>
      </c>
      <c r="F47" s="2" t="n">
        <v>393</v>
      </c>
      <c r="G47" s="2" t="n">
        <v>2644</v>
      </c>
      <c r="H47" s="2" t="n">
        <v>236</v>
      </c>
      <c r="I47" s="2" t="n">
        <v>1487</v>
      </c>
      <c r="J47" s="2" t="n">
        <v>7127</v>
      </c>
      <c r="K47" s="0" t="n">
        <v>73.4</v>
      </c>
      <c r="L47" s="2" t="n">
        <f aca="false">F47+G47+H47+I47</f>
        <v>4760</v>
      </c>
      <c r="M47" s="2" t="n">
        <f aca="false">J47-L47</f>
        <v>2367</v>
      </c>
      <c r="N47" s="3" t="n">
        <f aca="false">ROUND((J47-L47)/L47*100,2)</f>
        <v>49.73</v>
      </c>
    </row>
    <row r="48" customFormat="false" ht="15" hidden="false" customHeight="false" outlineLevel="0" collapsed="false">
      <c r="A48" s="0" t="n">
        <v>47</v>
      </c>
      <c r="B48" s="0" t="s">
        <v>111</v>
      </c>
      <c r="C48" s="0" t="s">
        <v>15</v>
      </c>
      <c r="D48" s="0" t="s">
        <v>16</v>
      </c>
      <c r="E48" s="0" t="s">
        <v>112</v>
      </c>
      <c r="F48" s="2" t="n">
        <v>1421</v>
      </c>
      <c r="G48" s="2" t="n">
        <v>17529</v>
      </c>
      <c r="H48" s="2" t="n">
        <v>1065</v>
      </c>
      <c r="I48" s="2" t="n">
        <v>5798</v>
      </c>
      <c r="J48" s="2" t="n">
        <v>40487</v>
      </c>
      <c r="K48" s="0" t="n">
        <v>407.5</v>
      </c>
      <c r="L48" s="2" t="n">
        <f aca="false">F48+G48+H48+I48</f>
        <v>25813</v>
      </c>
      <c r="M48" s="2" t="n">
        <f aca="false">J48-L48</f>
        <v>14674</v>
      </c>
      <c r="N48" s="3" t="n">
        <f aca="false">ROUND((J48-L48)/L48*100,2)</f>
        <v>56.85</v>
      </c>
    </row>
    <row r="49" customFormat="false" ht="15" hidden="false" customHeight="false" outlineLevel="0" collapsed="false">
      <c r="A49" s="0" t="n">
        <v>48</v>
      </c>
      <c r="B49" s="0" t="s">
        <v>113</v>
      </c>
      <c r="C49" s="0" t="s">
        <v>28</v>
      </c>
      <c r="D49" s="0" t="s">
        <v>25</v>
      </c>
      <c r="E49" s="0" t="s">
        <v>114</v>
      </c>
      <c r="F49" s="2" t="n">
        <v>973</v>
      </c>
      <c r="G49" s="2" t="n">
        <v>1325</v>
      </c>
      <c r="H49" s="2" t="n">
        <v>159</v>
      </c>
      <c r="I49" s="2" t="n">
        <v>690</v>
      </c>
      <c r="J49" s="2" t="n">
        <v>10744</v>
      </c>
      <c r="K49" s="0" t="n">
        <v>42.6</v>
      </c>
      <c r="L49" s="2" t="n">
        <f aca="false">F49+G49+H49+I49</f>
        <v>3147</v>
      </c>
      <c r="M49" s="2" t="n">
        <f aca="false">J49-L49</f>
        <v>7597</v>
      </c>
      <c r="N49" s="3" t="n">
        <f aca="false">ROUND((J49-L49)/L49*100,2)</f>
        <v>241.4</v>
      </c>
    </row>
    <row r="50" customFormat="false" ht="15" hidden="false" customHeight="false" outlineLevel="0" collapsed="false">
      <c r="A50" s="0" t="n">
        <v>49</v>
      </c>
      <c r="B50" s="0" t="s">
        <v>115</v>
      </c>
      <c r="C50" s="0" t="s">
        <v>21</v>
      </c>
      <c r="D50" s="0" t="s">
        <v>16</v>
      </c>
      <c r="E50" s="0" t="s">
        <v>116</v>
      </c>
      <c r="F50" s="2" t="n">
        <v>745</v>
      </c>
      <c r="G50" s="2" t="n">
        <v>1157</v>
      </c>
      <c r="H50" s="2" t="n">
        <v>399</v>
      </c>
      <c r="I50" s="2" t="n">
        <v>1554</v>
      </c>
      <c r="J50" s="2" t="n">
        <v>15419</v>
      </c>
      <c r="K50" s="0" t="n">
        <v>29.6</v>
      </c>
      <c r="L50" s="2" t="n">
        <f aca="false">F50+G50+H50+I50</f>
        <v>3855</v>
      </c>
      <c r="M50" s="2" t="n">
        <f aca="false">J50-L50</f>
        <v>11564</v>
      </c>
      <c r="N50" s="3" t="n">
        <f aca="false">ROUND((J50-L50)/L50*100,2)</f>
        <v>299.97</v>
      </c>
    </row>
    <row r="51" customFormat="false" ht="15" hidden="false" customHeight="false" outlineLevel="0" collapsed="false">
      <c r="A51" s="0" t="n">
        <v>50</v>
      </c>
      <c r="B51" s="0" t="s">
        <v>117</v>
      </c>
      <c r="C51" s="0" t="s">
        <v>41</v>
      </c>
      <c r="D51" s="0" t="s">
        <v>42</v>
      </c>
      <c r="E51" s="0" t="s">
        <v>118</v>
      </c>
      <c r="F51" s="2" t="n">
        <v>92</v>
      </c>
      <c r="G51" s="2" t="n">
        <v>1078</v>
      </c>
      <c r="H51" s="2" t="n">
        <v>197</v>
      </c>
      <c r="I51" s="2" t="n">
        <v>424</v>
      </c>
      <c r="J51" s="2" t="n">
        <v>3435</v>
      </c>
      <c r="K51" s="0" t="n">
        <v>24.5</v>
      </c>
      <c r="L51" s="2" t="n">
        <f aca="false">F51+G51+H51+I51</f>
        <v>1791</v>
      </c>
      <c r="M51" s="2" t="n">
        <f aca="false">J51-L51</f>
        <v>1644</v>
      </c>
      <c r="N51" s="3" t="n">
        <f aca="false">ROUND((J51-L51)/L51*100,2)</f>
        <v>91.79</v>
      </c>
    </row>
    <row r="52" customFormat="false" ht="15" hidden="false" customHeight="false" outlineLevel="0" collapsed="false">
      <c r="A52" s="0" t="n">
        <v>51</v>
      </c>
      <c r="B52" s="0" t="s">
        <v>119</v>
      </c>
      <c r="C52" s="0" t="s">
        <v>28</v>
      </c>
      <c r="D52" s="0" t="s">
        <v>25</v>
      </c>
      <c r="E52" s="0" t="s">
        <v>120</v>
      </c>
      <c r="F52" s="2" t="n">
        <v>690</v>
      </c>
      <c r="G52" s="2" t="n">
        <v>1459</v>
      </c>
      <c r="H52" s="2" t="n">
        <v>265</v>
      </c>
      <c r="I52" s="2" t="n">
        <v>663</v>
      </c>
      <c r="J52" s="2" t="n">
        <v>6352</v>
      </c>
      <c r="K52" s="0" t="n">
        <v>41.7</v>
      </c>
      <c r="L52" s="2" t="n">
        <f aca="false">F52+G52+H52+I52</f>
        <v>3077</v>
      </c>
      <c r="M52" s="2" t="n">
        <f aca="false">J52-L52</f>
        <v>3275</v>
      </c>
      <c r="N52" s="3" t="n">
        <f aca="false">ROUND((J52-L52)/L52*100,2)</f>
        <v>106.43</v>
      </c>
    </row>
    <row r="53" customFormat="false" ht="15" hidden="false" customHeight="false" outlineLevel="0" collapsed="false">
      <c r="A53" s="0" t="n">
        <v>52</v>
      </c>
      <c r="B53" s="0" t="s">
        <v>121</v>
      </c>
      <c r="C53" s="0" t="s">
        <v>41</v>
      </c>
      <c r="D53" s="0" t="s">
        <v>42</v>
      </c>
      <c r="E53" s="0" t="s">
        <v>122</v>
      </c>
      <c r="F53" s="2" t="n">
        <v>26</v>
      </c>
      <c r="G53" s="2" t="n">
        <v>846</v>
      </c>
      <c r="H53" s="2" t="n">
        <v>275</v>
      </c>
      <c r="I53" s="2" t="n">
        <v>353</v>
      </c>
      <c r="J53" s="2" t="n">
        <v>3926</v>
      </c>
      <c r="K53" s="0" t="n">
        <v>30.9</v>
      </c>
      <c r="L53" s="2" t="n">
        <f aca="false">F53+G53+H53+I53</f>
        <v>1500</v>
      </c>
      <c r="M53" s="2" t="n">
        <f aca="false">J53-L53</f>
        <v>2426</v>
      </c>
      <c r="N53" s="3" t="n">
        <f aca="false">ROUND((J53-L53)/L53*100,2)</f>
        <v>161.73</v>
      </c>
    </row>
    <row r="54" customFormat="false" ht="15" hidden="false" customHeight="false" outlineLevel="0" collapsed="false">
      <c r="A54" s="0" t="n">
        <v>53</v>
      </c>
      <c r="B54" s="0" t="s">
        <v>123</v>
      </c>
      <c r="C54" s="0" t="s">
        <v>24</v>
      </c>
      <c r="D54" s="0" t="s">
        <v>25</v>
      </c>
      <c r="E54" s="0" t="s">
        <v>124</v>
      </c>
      <c r="F54" s="2" t="n">
        <v>1953</v>
      </c>
      <c r="G54" s="2" t="n">
        <v>1942</v>
      </c>
      <c r="H54" s="2" t="n">
        <v>305</v>
      </c>
      <c r="I54" s="2" t="n">
        <v>610</v>
      </c>
      <c r="J54" s="2" t="n">
        <v>14064</v>
      </c>
      <c r="K54" s="0" t="n">
        <v>44</v>
      </c>
      <c r="L54" s="2" t="n">
        <f aca="false">F54+G54+H54+I54</f>
        <v>4810</v>
      </c>
      <c r="M54" s="2" t="n">
        <f aca="false">J54-L54</f>
        <v>9254</v>
      </c>
      <c r="N54" s="3" t="n">
        <f aca="false">ROUND((J54-L54)/L54*100,2)</f>
        <v>192.39</v>
      </c>
    </row>
    <row r="55" customFormat="false" ht="15" hidden="false" customHeight="false" outlineLevel="0" collapsed="false">
      <c r="A55" s="0" t="n">
        <v>54</v>
      </c>
      <c r="B55" s="0" t="s">
        <v>125</v>
      </c>
      <c r="C55" s="0" t="s">
        <v>21</v>
      </c>
      <c r="D55" s="0" t="s">
        <v>16</v>
      </c>
      <c r="E55" s="0" t="s">
        <v>126</v>
      </c>
      <c r="F55" s="2" t="n">
        <v>727</v>
      </c>
      <c r="G55" s="2" t="n">
        <v>2853</v>
      </c>
      <c r="H55" s="2" t="n">
        <v>491</v>
      </c>
      <c r="I55" s="2" t="n">
        <v>1485</v>
      </c>
      <c r="J55" s="2" t="n">
        <v>8947</v>
      </c>
      <c r="K55" s="0" t="n">
        <v>98.1</v>
      </c>
      <c r="L55" s="2" t="n">
        <f aca="false">F55+G55+H55+I55</f>
        <v>5556</v>
      </c>
      <c r="M55" s="2" t="n">
        <f aca="false">J55-L55</f>
        <v>3391</v>
      </c>
      <c r="N55" s="3" t="n">
        <f aca="false">ROUND((J55-L55)/L55*100,2)</f>
        <v>61.03</v>
      </c>
    </row>
    <row r="56" customFormat="false" ht="15" hidden="false" customHeight="false" outlineLevel="0" collapsed="false">
      <c r="A56" s="0" t="n">
        <v>55</v>
      </c>
      <c r="B56" s="0" t="s">
        <v>127</v>
      </c>
      <c r="C56" s="0" t="s">
        <v>24</v>
      </c>
      <c r="D56" s="0" t="s">
        <v>25</v>
      </c>
      <c r="E56" s="0" t="s">
        <v>128</v>
      </c>
      <c r="F56" s="2" t="n">
        <v>1124</v>
      </c>
      <c r="G56" s="2" t="n">
        <v>3768</v>
      </c>
      <c r="H56" s="2" t="n">
        <v>200</v>
      </c>
      <c r="I56" s="2" t="n">
        <v>1203</v>
      </c>
      <c r="J56" s="2" t="n">
        <v>19579</v>
      </c>
      <c r="K56" s="0" t="n">
        <v>141.8</v>
      </c>
      <c r="L56" s="2" t="n">
        <f aca="false">F56+G56+H56+I56</f>
        <v>6295</v>
      </c>
      <c r="M56" s="2" t="n">
        <f aca="false">J56-L56</f>
        <v>13284</v>
      </c>
      <c r="N56" s="3" t="n">
        <f aca="false">ROUND((J56-L56)/L56*100,2)</f>
        <v>211.02</v>
      </c>
    </row>
    <row r="57" customFormat="false" ht="15" hidden="false" customHeight="false" outlineLevel="0" collapsed="false">
      <c r="A57" s="0" t="n">
        <v>56</v>
      </c>
      <c r="B57" s="0" t="s">
        <v>129</v>
      </c>
      <c r="C57" s="0" t="s">
        <v>15</v>
      </c>
      <c r="D57" s="0" t="s">
        <v>16</v>
      </c>
      <c r="E57" s="0" t="s">
        <v>130</v>
      </c>
      <c r="F57" s="2" t="n">
        <v>1392</v>
      </c>
      <c r="G57" s="2" t="n">
        <v>12834</v>
      </c>
      <c r="H57" s="2" t="n">
        <v>2419</v>
      </c>
      <c r="I57" s="2" t="n">
        <v>3247</v>
      </c>
      <c r="J57" s="2" t="n">
        <v>50538</v>
      </c>
      <c r="K57" s="0" t="n">
        <v>342.2</v>
      </c>
      <c r="L57" s="2" t="n">
        <f aca="false">F57+G57+H57+I57</f>
        <v>19892</v>
      </c>
      <c r="M57" s="2" t="n">
        <f aca="false">J57-L57</f>
        <v>30646</v>
      </c>
      <c r="N57" s="3" t="n">
        <f aca="false">ROUND((J57-L57)/L57*100,2)</f>
        <v>154.06</v>
      </c>
    </row>
    <row r="58" customFormat="false" ht="15" hidden="false" customHeight="false" outlineLevel="0" collapsed="false">
      <c r="A58" s="0" t="n">
        <v>57</v>
      </c>
      <c r="B58" s="0" t="s">
        <v>131</v>
      </c>
      <c r="C58" s="0" t="s">
        <v>21</v>
      </c>
      <c r="D58" s="0" t="s">
        <v>16</v>
      </c>
      <c r="E58" s="0" t="s">
        <v>132</v>
      </c>
      <c r="F58" s="2" t="n">
        <v>299</v>
      </c>
      <c r="G58" s="2" t="n">
        <v>1669</v>
      </c>
      <c r="H58" s="2" t="n">
        <v>400</v>
      </c>
      <c r="I58" s="2" t="n">
        <v>1456</v>
      </c>
      <c r="J58" s="2" t="n">
        <v>9155</v>
      </c>
      <c r="K58" s="0" t="n">
        <v>57.2</v>
      </c>
      <c r="L58" s="2" t="n">
        <f aca="false">F58+G58+H58+I58</f>
        <v>3824</v>
      </c>
      <c r="M58" s="2" t="n">
        <f aca="false">J58-L58</f>
        <v>5331</v>
      </c>
      <c r="N58" s="3" t="n">
        <f aca="false">ROUND((J58-L58)/L58*100,2)</f>
        <v>139.41</v>
      </c>
    </row>
    <row r="59" customFormat="false" ht="15" hidden="false" customHeight="false" outlineLevel="0" collapsed="false">
      <c r="A59" s="0" t="n">
        <v>58</v>
      </c>
      <c r="B59" s="0" t="s">
        <v>133</v>
      </c>
      <c r="C59" s="0" t="s">
        <v>28</v>
      </c>
      <c r="D59" s="0" t="s">
        <v>25</v>
      </c>
      <c r="E59" s="0" t="s">
        <v>47</v>
      </c>
      <c r="F59" s="2" t="n">
        <v>939</v>
      </c>
      <c r="G59" s="2" t="n">
        <v>1944</v>
      </c>
      <c r="H59" s="2" t="n">
        <v>154</v>
      </c>
      <c r="I59" s="2" t="n">
        <v>875</v>
      </c>
      <c r="J59" s="2" t="n">
        <v>11008</v>
      </c>
      <c r="K59" s="0" t="n">
        <v>46.4</v>
      </c>
      <c r="L59" s="2" t="n">
        <f aca="false">F59+G59+H59+I59</f>
        <v>3912</v>
      </c>
      <c r="M59" s="2" t="n">
        <f aca="false">J59-L59</f>
        <v>7096</v>
      </c>
      <c r="N59" s="3" t="n">
        <f aca="false">ROUND((J59-L59)/L59*100,2)</f>
        <v>181.39</v>
      </c>
    </row>
    <row r="60" customFormat="false" ht="15" hidden="false" customHeight="false" outlineLevel="0" collapsed="false">
      <c r="A60" s="0" t="n">
        <v>59</v>
      </c>
      <c r="B60" s="0" t="s">
        <v>134</v>
      </c>
      <c r="C60" s="0" t="s">
        <v>21</v>
      </c>
      <c r="D60" s="0" t="s">
        <v>16</v>
      </c>
      <c r="E60" s="0" t="s">
        <v>135</v>
      </c>
      <c r="F60" s="2" t="n">
        <v>595</v>
      </c>
      <c r="G60" s="2" t="n">
        <v>2904</v>
      </c>
      <c r="H60" s="2" t="n">
        <v>680</v>
      </c>
      <c r="I60" s="2" t="n">
        <v>827</v>
      </c>
      <c r="J60" s="2" t="n">
        <v>11416</v>
      </c>
      <c r="K60" s="0" t="n">
        <v>83.2</v>
      </c>
      <c r="L60" s="2" t="n">
        <f aca="false">F60+G60+H60+I60</f>
        <v>5006</v>
      </c>
      <c r="M60" s="2" t="n">
        <f aca="false">J60-L60</f>
        <v>6410</v>
      </c>
      <c r="N60" s="3" t="n">
        <f aca="false">ROUND((J60-L60)/L60*100,2)</f>
        <v>128.05</v>
      </c>
    </row>
    <row r="61" customFormat="false" ht="15" hidden="false" customHeight="false" outlineLevel="0" collapsed="false">
      <c r="A61" s="0" t="n">
        <v>60</v>
      </c>
      <c r="B61" s="0" t="s">
        <v>136</v>
      </c>
      <c r="C61" s="0" t="s">
        <v>21</v>
      </c>
      <c r="D61" s="0" t="s">
        <v>16</v>
      </c>
      <c r="E61" s="0" t="s">
        <v>137</v>
      </c>
      <c r="F61" s="2" t="n">
        <v>582</v>
      </c>
      <c r="G61" s="2" t="n">
        <v>1027</v>
      </c>
      <c r="H61" s="2" t="n">
        <v>524</v>
      </c>
      <c r="I61" s="2" t="n">
        <v>583</v>
      </c>
      <c r="J61" s="2" t="n">
        <v>9680</v>
      </c>
      <c r="K61" s="0" t="n">
        <v>30.1</v>
      </c>
      <c r="L61" s="2" t="n">
        <f aca="false">F61+G61+H61+I61</f>
        <v>2716</v>
      </c>
      <c r="M61" s="2" t="n">
        <f aca="false">J61-L61</f>
        <v>6964</v>
      </c>
      <c r="N61" s="3" t="n">
        <f aca="false">ROUND((J61-L61)/L61*100,2)</f>
        <v>256.41</v>
      </c>
    </row>
    <row r="62" customFormat="false" ht="15" hidden="false" customHeight="false" outlineLevel="0" collapsed="false">
      <c r="A62" s="0" t="n">
        <v>61</v>
      </c>
      <c r="B62" s="0" t="s">
        <v>138</v>
      </c>
      <c r="C62" s="0" t="s">
        <v>15</v>
      </c>
      <c r="D62" s="0" t="s">
        <v>16</v>
      </c>
      <c r="E62" s="0" t="s">
        <v>139</v>
      </c>
      <c r="F62" s="2" t="n">
        <v>951</v>
      </c>
      <c r="G62" s="2" t="n">
        <v>13579</v>
      </c>
      <c r="H62" s="2" t="n">
        <v>1908</v>
      </c>
      <c r="I62" s="2" t="n">
        <v>3686</v>
      </c>
      <c r="J62" s="2" t="n">
        <v>37944</v>
      </c>
      <c r="K62" s="0" t="n">
        <v>435.2</v>
      </c>
      <c r="L62" s="2" t="n">
        <f aca="false">F62+G62+H62+I62</f>
        <v>20124</v>
      </c>
      <c r="M62" s="2" t="n">
        <f aca="false">J62-L62</f>
        <v>17820</v>
      </c>
      <c r="N62" s="3" t="n">
        <f aca="false">ROUND((J62-L62)/L62*100,2)</f>
        <v>88.55</v>
      </c>
    </row>
    <row r="63" customFormat="false" ht="15" hidden="false" customHeight="false" outlineLevel="0" collapsed="false">
      <c r="A63" s="0" t="n">
        <v>62</v>
      </c>
      <c r="B63" s="0" t="s">
        <v>140</v>
      </c>
      <c r="C63" s="0" t="s">
        <v>15</v>
      </c>
      <c r="D63" s="0" t="s">
        <v>16</v>
      </c>
      <c r="E63" s="0" t="s">
        <v>73</v>
      </c>
      <c r="F63" s="2" t="n">
        <v>1217</v>
      </c>
      <c r="G63" s="2" t="n">
        <v>11108</v>
      </c>
      <c r="H63" s="2" t="n">
        <v>868</v>
      </c>
      <c r="I63" s="2" t="n">
        <v>3174</v>
      </c>
      <c r="J63" s="2" t="n">
        <v>33338</v>
      </c>
      <c r="K63" s="0" t="n">
        <v>421.6</v>
      </c>
      <c r="L63" s="2" t="n">
        <f aca="false">F63+G63+H63+I63</f>
        <v>16367</v>
      </c>
      <c r="M63" s="2" t="n">
        <f aca="false">J63-L63</f>
        <v>16971</v>
      </c>
      <c r="N63" s="3" t="n">
        <f aca="false">ROUND((J63-L63)/L63*100,2)</f>
        <v>103.69</v>
      </c>
    </row>
    <row r="64" customFormat="false" ht="15" hidden="false" customHeight="false" outlineLevel="0" collapsed="false">
      <c r="A64" s="0" t="n">
        <v>63</v>
      </c>
      <c r="B64" s="0" t="s">
        <v>141</v>
      </c>
      <c r="C64" s="0" t="s">
        <v>15</v>
      </c>
      <c r="D64" s="0" t="s">
        <v>16</v>
      </c>
      <c r="E64" s="0" t="s">
        <v>142</v>
      </c>
      <c r="F64" s="2" t="n">
        <v>921</v>
      </c>
      <c r="G64" s="2" t="n">
        <v>13302</v>
      </c>
      <c r="H64" s="2" t="n">
        <v>1310</v>
      </c>
      <c r="I64" s="2" t="n">
        <v>3495</v>
      </c>
      <c r="J64" s="2" t="n">
        <v>18810</v>
      </c>
      <c r="K64" s="0" t="n">
        <v>373.4</v>
      </c>
      <c r="L64" s="2" t="n">
        <f aca="false">F64+G64+H64+I64</f>
        <v>19028</v>
      </c>
      <c r="M64" s="2" t="n">
        <f aca="false">J64-L64</f>
        <v>-218</v>
      </c>
      <c r="N64" s="3" t="n">
        <f aca="false">ROUND((J64-L64)/L64*100,2)</f>
        <v>-1.15</v>
      </c>
    </row>
    <row r="65" customFormat="false" ht="15" hidden="false" customHeight="false" outlineLevel="0" collapsed="false">
      <c r="A65" s="0" t="n">
        <v>64</v>
      </c>
      <c r="B65" s="0" t="s">
        <v>143</v>
      </c>
      <c r="C65" s="0" t="s">
        <v>15</v>
      </c>
      <c r="D65" s="0" t="s">
        <v>16</v>
      </c>
      <c r="E65" s="0" t="s">
        <v>77</v>
      </c>
      <c r="F65" s="2" t="n">
        <v>1207</v>
      </c>
      <c r="G65" s="2" t="n">
        <v>14551</v>
      </c>
      <c r="H65" s="2" t="n">
        <v>1996</v>
      </c>
      <c r="I65" s="2" t="n">
        <v>4149</v>
      </c>
      <c r="J65" s="2" t="n">
        <v>44261</v>
      </c>
      <c r="K65" s="0" t="n">
        <v>336.8</v>
      </c>
      <c r="L65" s="2" t="n">
        <f aca="false">F65+G65+H65+I65</f>
        <v>21903</v>
      </c>
      <c r="M65" s="2" t="n">
        <f aca="false">J65-L65</f>
        <v>22358</v>
      </c>
      <c r="N65" s="3" t="n">
        <f aca="false">ROUND((J65-L65)/L65*100,2)</f>
        <v>102.08</v>
      </c>
    </row>
    <row r="66" customFormat="false" ht="15" hidden="false" customHeight="false" outlineLevel="0" collapsed="false">
      <c r="A66" s="0" t="n">
        <v>65</v>
      </c>
      <c r="B66" s="0" t="s">
        <v>144</v>
      </c>
      <c r="C66" s="0" t="s">
        <v>15</v>
      </c>
      <c r="D66" s="0" t="s">
        <v>16</v>
      </c>
      <c r="E66" s="0" t="s">
        <v>145</v>
      </c>
      <c r="F66" s="2" t="n">
        <v>1188</v>
      </c>
      <c r="G66" s="2" t="n">
        <v>11167</v>
      </c>
      <c r="H66" s="2" t="n">
        <v>2266</v>
      </c>
      <c r="I66" s="2" t="n">
        <v>8118</v>
      </c>
      <c r="J66" s="2" t="n">
        <v>40014</v>
      </c>
      <c r="K66" s="0" t="n">
        <v>435.7</v>
      </c>
      <c r="L66" s="2" t="n">
        <f aca="false">F66+G66+H66+I66</f>
        <v>22739</v>
      </c>
      <c r="M66" s="2" t="n">
        <f aca="false">J66-L66</f>
        <v>17275</v>
      </c>
      <c r="N66" s="3" t="n">
        <f aca="false">ROUND((J66-L66)/L66*100,2)</f>
        <v>75.97</v>
      </c>
    </row>
    <row r="67" customFormat="false" ht="15" hidden="false" customHeight="false" outlineLevel="0" collapsed="false">
      <c r="A67" s="0" t="n">
        <v>66</v>
      </c>
      <c r="B67" s="0" t="s">
        <v>146</v>
      </c>
      <c r="C67" s="0" t="s">
        <v>24</v>
      </c>
      <c r="D67" s="0" t="s">
        <v>25</v>
      </c>
      <c r="E67" s="0" t="s">
        <v>147</v>
      </c>
      <c r="F67" s="2" t="n">
        <v>1602</v>
      </c>
      <c r="G67" s="2" t="n">
        <v>2552</v>
      </c>
      <c r="H67" s="2" t="n">
        <v>315</v>
      </c>
      <c r="I67" s="2" t="n">
        <v>1343</v>
      </c>
      <c r="J67" s="2" t="n">
        <v>17603</v>
      </c>
      <c r="K67" s="0" t="n">
        <v>72.1</v>
      </c>
      <c r="L67" s="2" t="n">
        <f aca="false">F67+G67+H67+I67</f>
        <v>5812</v>
      </c>
      <c r="M67" s="2" t="n">
        <f aca="false">J67-L67</f>
        <v>11791</v>
      </c>
      <c r="N67" s="3" t="n">
        <f aca="false">ROUND((J67-L67)/L67*100,2)</f>
        <v>202.87</v>
      </c>
    </row>
    <row r="68" customFormat="false" ht="15" hidden="false" customHeight="false" outlineLevel="0" collapsed="false">
      <c r="A68" s="0" t="n">
        <v>67</v>
      </c>
      <c r="B68" s="0" t="s">
        <v>148</v>
      </c>
      <c r="C68" s="0" t="s">
        <v>21</v>
      </c>
      <c r="D68" s="0" t="s">
        <v>16</v>
      </c>
      <c r="E68" s="0" t="s">
        <v>149</v>
      </c>
      <c r="F68" s="2" t="n">
        <v>798</v>
      </c>
      <c r="G68" s="2" t="n">
        <v>1698</v>
      </c>
      <c r="H68" s="2" t="n">
        <v>612</v>
      </c>
      <c r="I68" s="2" t="n">
        <v>1028</v>
      </c>
      <c r="J68" s="2" t="n">
        <v>8200</v>
      </c>
      <c r="K68" s="0" t="n">
        <v>42.6</v>
      </c>
      <c r="L68" s="2" t="n">
        <f aca="false">F68+G68+H68+I68</f>
        <v>4136</v>
      </c>
      <c r="M68" s="2" t="n">
        <f aca="false">J68-L68</f>
        <v>4064</v>
      </c>
      <c r="N68" s="3" t="n">
        <f aca="false">ROUND((J68-L68)/L68*100,2)</f>
        <v>98.26</v>
      </c>
    </row>
    <row r="69" customFormat="false" ht="15" hidden="false" customHeight="false" outlineLevel="0" collapsed="false">
      <c r="A69" s="0" t="n">
        <v>68</v>
      </c>
      <c r="B69" s="0" t="s">
        <v>150</v>
      </c>
      <c r="C69" s="0" t="s">
        <v>24</v>
      </c>
      <c r="D69" s="0" t="s">
        <v>25</v>
      </c>
      <c r="E69" s="0" t="s">
        <v>151</v>
      </c>
      <c r="F69" s="2" t="n">
        <v>897</v>
      </c>
      <c r="G69" s="2" t="n">
        <v>1925</v>
      </c>
      <c r="H69" s="2" t="n">
        <v>155</v>
      </c>
      <c r="I69" s="2" t="n">
        <v>539</v>
      </c>
      <c r="J69" s="2" t="n">
        <v>8165</v>
      </c>
      <c r="K69" s="0" t="n">
        <v>48.4</v>
      </c>
      <c r="L69" s="2" t="n">
        <f aca="false">F69+G69+H69+I69</f>
        <v>3516</v>
      </c>
      <c r="M69" s="2" t="n">
        <f aca="false">J69-L69</f>
        <v>4649</v>
      </c>
      <c r="N69" s="3" t="n">
        <f aca="false">ROUND((J69-L69)/L69*100,2)</f>
        <v>132.22</v>
      </c>
    </row>
    <row r="70" customFormat="false" ht="15" hidden="false" customHeight="false" outlineLevel="0" collapsed="false">
      <c r="A70" s="0" t="n">
        <v>69</v>
      </c>
      <c r="B70" s="0" t="s">
        <v>152</v>
      </c>
      <c r="C70" s="0" t="s">
        <v>41</v>
      </c>
      <c r="D70" s="0" t="s">
        <v>42</v>
      </c>
      <c r="E70" s="0" t="s">
        <v>153</v>
      </c>
      <c r="F70" s="2" t="n">
        <v>64</v>
      </c>
      <c r="G70" s="2" t="n">
        <v>1168</v>
      </c>
      <c r="H70" s="2" t="n">
        <v>200</v>
      </c>
      <c r="I70" s="2" t="n">
        <v>449</v>
      </c>
      <c r="J70" s="2" t="n">
        <v>2933</v>
      </c>
      <c r="K70" s="0" t="n">
        <v>38.4</v>
      </c>
      <c r="L70" s="2" t="n">
        <f aca="false">F70+G70+H70+I70</f>
        <v>1881</v>
      </c>
      <c r="M70" s="2" t="n">
        <f aca="false">J70-L70</f>
        <v>1052</v>
      </c>
      <c r="N70" s="3" t="n">
        <f aca="false">ROUND((J70-L70)/L70*100,2)</f>
        <v>55.93</v>
      </c>
    </row>
    <row r="71" customFormat="false" ht="15" hidden="false" customHeight="false" outlineLevel="0" collapsed="false">
      <c r="A71" s="0" t="n">
        <v>70</v>
      </c>
      <c r="B71" s="0" t="s">
        <v>154</v>
      </c>
      <c r="C71" s="0" t="s">
        <v>41</v>
      </c>
      <c r="D71" s="0" t="s">
        <v>42</v>
      </c>
      <c r="E71" s="0" t="s">
        <v>155</v>
      </c>
      <c r="F71" s="2" t="n">
        <v>54</v>
      </c>
      <c r="G71" s="2" t="n">
        <v>1169</v>
      </c>
      <c r="H71" s="2" t="n">
        <v>289</v>
      </c>
      <c r="I71" s="2" t="n">
        <v>397</v>
      </c>
      <c r="J71" s="2" t="n">
        <v>3141</v>
      </c>
      <c r="K71" s="0" t="n">
        <v>32.6</v>
      </c>
      <c r="L71" s="2" t="n">
        <f aca="false">F71+G71+H71+I71</f>
        <v>1909</v>
      </c>
      <c r="M71" s="2" t="n">
        <f aca="false">J71-L71</f>
        <v>1232</v>
      </c>
      <c r="N71" s="3" t="n">
        <f aca="false">ROUND((J71-L71)/L71*100,2)</f>
        <v>64.54</v>
      </c>
    </row>
    <row r="72" customFormat="false" ht="15" hidden="false" customHeight="false" outlineLevel="0" collapsed="false">
      <c r="A72" s="0" t="n">
        <v>71</v>
      </c>
      <c r="B72" s="0" t="s">
        <v>156</v>
      </c>
      <c r="C72" s="0" t="s">
        <v>28</v>
      </c>
      <c r="D72" s="0" t="s">
        <v>25</v>
      </c>
      <c r="E72" s="0" t="s">
        <v>157</v>
      </c>
      <c r="F72" s="2" t="n">
        <v>529</v>
      </c>
      <c r="G72" s="2" t="n">
        <v>1210</v>
      </c>
      <c r="H72" s="2" t="n">
        <v>183</v>
      </c>
      <c r="I72" s="2" t="n">
        <v>318</v>
      </c>
      <c r="J72" s="2" t="n">
        <v>3993</v>
      </c>
      <c r="K72" s="0" t="n">
        <v>37.6</v>
      </c>
      <c r="L72" s="2" t="n">
        <f aca="false">F72+G72+H72+I72</f>
        <v>2240</v>
      </c>
      <c r="M72" s="2" t="n">
        <f aca="false">J72-L72</f>
        <v>1753</v>
      </c>
      <c r="N72" s="3" t="n">
        <f aca="false">ROUND((J72-L72)/L72*100,2)</f>
        <v>78.26</v>
      </c>
    </row>
    <row r="73" customFormat="false" ht="15" hidden="false" customHeight="false" outlineLevel="0" collapsed="false">
      <c r="A73" s="0" t="n">
        <v>72</v>
      </c>
      <c r="B73" s="0" t="s">
        <v>158</v>
      </c>
      <c r="C73" s="0" t="s">
        <v>28</v>
      </c>
      <c r="D73" s="0" t="s">
        <v>25</v>
      </c>
      <c r="E73" s="0" t="s">
        <v>159</v>
      </c>
      <c r="F73" s="2" t="n">
        <v>681</v>
      </c>
      <c r="G73" s="2" t="n">
        <v>1798</v>
      </c>
      <c r="H73" s="2" t="n">
        <v>87</v>
      </c>
      <c r="I73" s="2" t="n">
        <v>523</v>
      </c>
      <c r="J73" s="2" t="n">
        <v>9691</v>
      </c>
      <c r="K73" s="0" t="n">
        <v>43.9</v>
      </c>
      <c r="L73" s="2" t="n">
        <f aca="false">F73+G73+H73+I73</f>
        <v>3089</v>
      </c>
      <c r="M73" s="2" t="n">
        <f aca="false">J73-L73</f>
        <v>6602</v>
      </c>
      <c r="N73" s="3" t="n">
        <f aca="false">ROUND((J73-L73)/L73*100,2)</f>
        <v>213.73</v>
      </c>
    </row>
    <row r="74" customFormat="false" ht="15" hidden="false" customHeight="false" outlineLevel="0" collapsed="false">
      <c r="A74" s="0" t="n">
        <v>73</v>
      </c>
      <c r="B74" s="0" t="s">
        <v>160</v>
      </c>
      <c r="C74" s="0" t="s">
        <v>24</v>
      </c>
      <c r="D74" s="0" t="s">
        <v>25</v>
      </c>
      <c r="E74" s="0" t="s">
        <v>69</v>
      </c>
      <c r="F74" s="2" t="n">
        <v>840</v>
      </c>
      <c r="G74" s="2" t="n">
        <v>2363</v>
      </c>
      <c r="H74" s="2" t="n">
        <v>195</v>
      </c>
      <c r="I74" s="2" t="n">
        <v>903</v>
      </c>
      <c r="J74" s="2" t="n">
        <v>13731</v>
      </c>
      <c r="K74" s="0" t="n">
        <v>64.7</v>
      </c>
      <c r="L74" s="2" t="n">
        <f aca="false">F74+G74+H74+I74</f>
        <v>4301</v>
      </c>
      <c r="M74" s="2" t="n">
        <f aca="false">J74-L74</f>
        <v>9430</v>
      </c>
      <c r="N74" s="3" t="n">
        <f aca="false">ROUND((J74-L74)/L74*100,2)</f>
        <v>219.25</v>
      </c>
    </row>
    <row r="75" customFormat="false" ht="15" hidden="false" customHeight="false" outlineLevel="0" collapsed="false">
      <c r="A75" s="0" t="n">
        <v>74</v>
      </c>
      <c r="B75" s="0" t="s">
        <v>161</v>
      </c>
      <c r="C75" s="0" t="s">
        <v>24</v>
      </c>
      <c r="D75" s="0" t="s">
        <v>25</v>
      </c>
      <c r="E75" s="0" t="s">
        <v>31</v>
      </c>
      <c r="F75" s="2" t="n">
        <v>1848</v>
      </c>
      <c r="G75" s="2" t="n">
        <v>3448</v>
      </c>
      <c r="H75" s="2" t="n">
        <v>195</v>
      </c>
      <c r="I75" s="2" t="n">
        <v>596</v>
      </c>
      <c r="J75" s="2" t="n">
        <v>13415</v>
      </c>
      <c r="K75" s="0" t="n">
        <v>96.4</v>
      </c>
      <c r="L75" s="2" t="n">
        <f aca="false">F75+G75+H75+I75</f>
        <v>6087</v>
      </c>
      <c r="M75" s="2" t="n">
        <f aca="false">J75-L75</f>
        <v>7328</v>
      </c>
      <c r="N75" s="3" t="n">
        <f aca="false">ROUND((J75-L75)/L75*100,2)</f>
        <v>120.39</v>
      </c>
    </row>
    <row r="76" customFormat="false" ht="15" hidden="false" customHeight="false" outlineLevel="0" collapsed="false">
      <c r="A76" s="0" t="n">
        <v>75</v>
      </c>
      <c r="B76" s="0" t="s">
        <v>162</v>
      </c>
      <c r="C76" s="0" t="s">
        <v>15</v>
      </c>
      <c r="D76" s="0" t="s">
        <v>16</v>
      </c>
      <c r="E76" s="0" t="s">
        <v>163</v>
      </c>
      <c r="F76" s="2" t="n">
        <v>1343</v>
      </c>
      <c r="G76" s="2" t="n">
        <v>13784</v>
      </c>
      <c r="H76" s="2" t="n">
        <v>1324</v>
      </c>
      <c r="I76" s="2" t="n">
        <v>4463</v>
      </c>
      <c r="J76" s="2" t="n">
        <v>47203</v>
      </c>
      <c r="K76" s="0" t="n">
        <v>350.9</v>
      </c>
      <c r="L76" s="2" t="n">
        <f aca="false">F76+G76+H76+I76</f>
        <v>20914</v>
      </c>
      <c r="M76" s="2" t="n">
        <f aca="false">J76-L76</f>
        <v>26289</v>
      </c>
      <c r="N76" s="3" t="n">
        <f aca="false">ROUND((J76-L76)/L76*100,2)</f>
        <v>125.7</v>
      </c>
    </row>
    <row r="77" customFormat="false" ht="15" hidden="false" customHeight="false" outlineLevel="0" collapsed="false">
      <c r="A77" s="0" t="n">
        <v>76</v>
      </c>
      <c r="B77" s="0" t="s">
        <v>164</v>
      </c>
      <c r="C77" s="0" t="s">
        <v>28</v>
      </c>
      <c r="D77" s="0" t="s">
        <v>25</v>
      </c>
      <c r="E77" s="0" t="s">
        <v>165</v>
      </c>
      <c r="F77" s="2" t="n">
        <v>1046</v>
      </c>
      <c r="G77" s="2" t="n">
        <v>1893</v>
      </c>
      <c r="H77" s="2" t="n">
        <v>243</v>
      </c>
      <c r="I77" s="2" t="n">
        <v>523</v>
      </c>
      <c r="J77" s="2" t="n">
        <v>9656</v>
      </c>
      <c r="K77" s="0" t="n">
        <v>51.5</v>
      </c>
      <c r="L77" s="2" t="n">
        <f aca="false">F77+G77+H77+I77</f>
        <v>3705</v>
      </c>
      <c r="M77" s="2" t="n">
        <f aca="false">J77-L77</f>
        <v>5951</v>
      </c>
      <c r="N77" s="3" t="n">
        <f aca="false">ROUND((J77-L77)/L77*100,2)</f>
        <v>160.62</v>
      </c>
    </row>
    <row r="78" customFormat="false" ht="15" hidden="false" customHeight="false" outlineLevel="0" collapsed="false">
      <c r="A78" s="0" t="n">
        <v>77</v>
      </c>
      <c r="B78" s="0" t="s">
        <v>166</v>
      </c>
      <c r="C78" s="0" t="s">
        <v>41</v>
      </c>
      <c r="D78" s="0" t="s">
        <v>42</v>
      </c>
      <c r="E78" s="0" t="s">
        <v>167</v>
      </c>
      <c r="F78" s="2" t="n">
        <v>63</v>
      </c>
      <c r="G78" s="2" t="n">
        <v>1242</v>
      </c>
      <c r="H78" s="2" t="n">
        <v>267</v>
      </c>
      <c r="I78" s="2" t="n">
        <v>244</v>
      </c>
      <c r="J78" s="2" t="n">
        <v>5126</v>
      </c>
      <c r="K78" s="0" t="n">
        <v>32.6</v>
      </c>
      <c r="L78" s="2" t="n">
        <f aca="false">F78+G78+H78+I78</f>
        <v>1816</v>
      </c>
      <c r="M78" s="2" t="n">
        <f aca="false">J78-L78</f>
        <v>3310</v>
      </c>
      <c r="N78" s="3" t="n">
        <f aca="false">ROUND((J78-L78)/L78*100,2)</f>
        <v>182.27</v>
      </c>
    </row>
    <row r="79" customFormat="false" ht="15" hidden="false" customHeight="false" outlineLevel="0" collapsed="false">
      <c r="A79" s="0" t="n">
        <v>78</v>
      </c>
      <c r="B79" s="0" t="s">
        <v>168</v>
      </c>
      <c r="C79" s="0" t="s">
        <v>28</v>
      </c>
      <c r="D79" s="0" t="s">
        <v>25</v>
      </c>
      <c r="E79" s="0" t="s">
        <v>169</v>
      </c>
      <c r="F79" s="2" t="n">
        <v>599</v>
      </c>
      <c r="G79" s="2" t="n">
        <v>1246</v>
      </c>
      <c r="H79" s="2" t="n">
        <v>279</v>
      </c>
      <c r="I79" s="2" t="n">
        <v>499</v>
      </c>
      <c r="J79" s="2" t="n">
        <v>8620</v>
      </c>
      <c r="K79" s="0" t="n">
        <v>45.1</v>
      </c>
      <c r="L79" s="2" t="n">
        <f aca="false">F79+G79+H79+I79</f>
        <v>2623</v>
      </c>
      <c r="M79" s="2" t="n">
        <f aca="false">J79-L79</f>
        <v>5997</v>
      </c>
      <c r="N79" s="3" t="n">
        <f aca="false">ROUND((J79-L79)/L79*100,2)</f>
        <v>228.63</v>
      </c>
    </row>
    <row r="80" customFormat="false" ht="15" hidden="false" customHeight="false" outlineLevel="0" collapsed="false">
      <c r="A80" s="0" t="n">
        <v>79</v>
      </c>
      <c r="B80" s="0" t="s">
        <v>170</v>
      </c>
      <c r="C80" s="0" t="s">
        <v>28</v>
      </c>
      <c r="D80" s="0" t="s">
        <v>25</v>
      </c>
      <c r="E80" s="0" t="s">
        <v>171</v>
      </c>
      <c r="F80" s="2" t="n">
        <v>915</v>
      </c>
      <c r="G80" s="2" t="n">
        <v>810</v>
      </c>
      <c r="H80" s="2" t="n">
        <v>234</v>
      </c>
      <c r="I80" s="2" t="n">
        <v>686</v>
      </c>
      <c r="J80" s="2" t="n">
        <v>4371</v>
      </c>
      <c r="K80" s="0" t="n">
        <v>18.7</v>
      </c>
      <c r="L80" s="2" t="n">
        <f aca="false">F80+G80+H80+I80</f>
        <v>2645</v>
      </c>
      <c r="M80" s="2" t="n">
        <f aca="false">J80-L80</f>
        <v>1726</v>
      </c>
      <c r="N80" s="3" t="n">
        <f aca="false">ROUND((J80-L80)/L80*100,2)</f>
        <v>65.26</v>
      </c>
    </row>
    <row r="81" customFormat="false" ht="15" hidden="false" customHeight="false" outlineLevel="0" collapsed="false">
      <c r="A81" s="0" t="n">
        <v>80</v>
      </c>
      <c r="B81" s="0" t="s">
        <v>172</v>
      </c>
      <c r="C81" s="0" t="s">
        <v>24</v>
      </c>
      <c r="D81" s="0" t="s">
        <v>25</v>
      </c>
      <c r="E81" s="0" t="s">
        <v>173</v>
      </c>
      <c r="F81" s="2" t="n">
        <v>1075</v>
      </c>
      <c r="G81" s="2" t="n">
        <v>2509</v>
      </c>
      <c r="H81" s="2" t="n">
        <v>151</v>
      </c>
      <c r="I81" s="2" t="n">
        <v>511</v>
      </c>
      <c r="J81" s="2" t="n">
        <v>6402</v>
      </c>
      <c r="K81" s="0" t="n">
        <v>64.9</v>
      </c>
      <c r="L81" s="2" t="n">
        <f aca="false">F81+G81+H81+I81</f>
        <v>4246</v>
      </c>
      <c r="M81" s="2" t="n">
        <f aca="false">J81-L81</f>
        <v>2156</v>
      </c>
      <c r="N81" s="3" t="n">
        <f aca="false">ROUND((J81-L81)/L81*100,2)</f>
        <v>50.78</v>
      </c>
    </row>
    <row r="82" customFormat="false" ht="15" hidden="false" customHeight="false" outlineLevel="0" collapsed="false">
      <c r="A82" s="0" t="n">
        <v>81</v>
      </c>
      <c r="B82" s="0" t="s">
        <v>174</v>
      </c>
      <c r="C82" s="0" t="s">
        <v>28</v>
      </c>
      <c r="D82" s="0" t="s">
        <v>25</v>
      </c>
      <c r="E82" s="0" t="s">
        <v>175</v>
      </c>
      <c r="F82" s="2" t="n">
        <v>1174</v>
      </c>
      <c r="G82" s="2" t="n">
        <v>1126</v>
      </c>
      <c r="H82" s="2" t="n">
        <v>180</v>
      </c>
      <c r="I82" s="2" t="n">
        <v>529</v>
      </c>
      <c r="J82" s="2" t="n">
        <v>5313</v>
      </c>
      <c r="K82" s="0" t="n">
        <v>40.8</v>
      </c>
      <c r="L82" s="2" t="n">
        <f aca="false">F82+G82+H82+I82</f>
        <v>3009</v>
      </c>
      <c r="M82" s="2" t="n">
        <f aca="false">J82-L82</f>
        <v>2304</v>
      </c>
      <c r="N82" s="3" t="n">
        <f aca="false">ROUND((J82-L82)/L82*100,2)</f>
        <v>76.57</v>
      </c>
    </row>
    <row r="83" customFormat="false" ht="15" hidden="false" customHeight="false" outlineLevel="0" collapsed="false">
      <c r="A83" s="0" t="n">
        <v>82</v>
      </c>
      <c r="B83" s="0" t="s">
        <v>176</v>
      </c>
      <c r="C83" s="0" t="s">
        <v>24</v>
      </c>
      <c r="D83" s="0" t="s">
        <v>25</v>
      </c>
      <c r="E83" s="0" t="s">
        <v>114</v>
      </c>
      <c r="F83" s="2" t="n">
        <v>1726</v>
      </c>
      <c r="G83" s="2" t="n">
        <v>3792</v>
      </c>
      <c r="H83" s="2" t="n">
        <v>338</v>
      </c>
      <c r="I83" s="2" t="n">
        <v>962</v>
      </c>
      <c r="J83" s="2" t="n">
        <v>15778</v>
      </c>
      <c r="K83" s="0" t="n">
        <v>132.2</v>
      </c>
      <c r="L83" s="2" t="n">
        <f aca="false">F83+G83+H83+I83</f>
        <v>6818</v>
      </c>
      <c r="M83" s="2" t="n">
        <f aca="false">J83-L83</f>
        <v>8960</v>
      </c>
      <c r="N83" s="3" t="n">
        <f aca="false">ROUND((J83-L83)/L83*100,2)</f>
        <v>131.42</v>
      </c>
    </row>
    <row r="84" customFormat="false" ht="15" hidden="false" customHeight="false" outlineLevel="0" collapsed="false">
      <c r="A84" s="0" t="n">
        <v>83</v>
      </c>
      <c r="B84" s="0" t="s">
        <v>177</v>
      </c>
      <c r="C84" s="0" t="s">
        <v>41</v>
      </c>
      <c r="D84" s="0" t="s">
        <v>42</v>
      </c>
      <c r="E84" s="0" t="s">
        <v>178</v>
      </c>
      <c r="F84" s="2" t="n">
        <v>50</v>
      </c>
      <c r="G84" s="2" t="n">
        <v>1098</v>
      </c>
      <c r="H84" s="2" t="n">
        <v>298</v>
      </c>
      <c r="I84" s="2" t="n">
        <v>199</v>
      </c>
      <c r="J84" s="2" t="n">
        <v>4291</v>
      </c>
      <c r="K84" s="0" t="n">
        <v>33.5</v>
      </c>
      <c r="L84" s="2" t="n">
        <f aca="false">F84+G84+H84+I84</f>
        <v>1645</v>
      </c>
      <c r="M84" s="2" t="n">
        <f aca="false">J84-L84</f>
        <v>2646</v>
      </c>
      <c r="N84" s="3" t="n">
        <f aca="false">ROUND((J84-L84)/L84*100,2)</f>
        <v>160.85</v>
      </c>
    </row>
    <row r="85" customFormat="false" ht="15" hidden="false" customHeight="false" outlineLevel="0" collapsed="false">
      <c r="A85" s="0" t="n">
        <v>84</v>
      </c>
      <c r="B85" s="0" t="s">
        <v>179</v>
      </c>
      <c r="C85" s="0" t="s">
        <v>28</v>
      </c>
      <c r="D85" s="0" t="s">
        <v>25</v>
      </c>
      <c r="E85" s="0" t="s">
        <v>180</v>
      </c>
      <c r="F85" s="2" t="n">
        <v>416</v>
      </c>
      <c r="G85" s="2" t="n">
        <v>1513</v>
      </c>
      <c r="H85" s="2" t="n">
        <v>209</v>
      </c>
      <c r="I85" s="2" t="n">
        <v>384</v>
      </c>
      <c r="J85" s="2" t="n">
        <v>4213</v>
      </c>
      <c r="K85" s="0" t="n">
        <v>45.3</v>
      </c>
      <c r="L85" s="2" t="n">
        <f aca="false">F85+G85+H85+I85</f>
        <v>2522</v>
      </c>
      <c r="M85" s="2" t="n">
        <f aca="false">J85-L85</f>
        <v>1691</v>
      </c>
      <c r="N85" s="3" t="n">
        <f aca="false">ROUND((J85-L85)/L85*100,2)</f>
        <v>67.05</v>
      </c>
    </row>
    <row r="86" customFormat="false" ht="15" hidden="false" customHeight="false" outlineLevel="0" collapsed="false">
      <c r="A86" s="0" t="n">
        <v>85</v>
      </c>
      <c r="B86" s="0" t="s">
        <v>181</v>
      </c>
      <c r="C86" s="0" t="s">
        <v>24</v>
      </c>
      <c r="D86" s="0" t="s">
        <v>25</v>
      </c>
      <c r="E86" s="0" t="s">
        <v>182</v>
      </c>
      <c r="F86" s="2" t="n">
        <v>1402</v>
      </c>
      <c r="G86" s="2" t="n">
        <v>3547</v>
      </c>
      <c r="H86" s="2" t="n">
        <v>102</v>
      </c>
      <c r="I86" s="2" t="n">
        <v>1178</v>
      </c>
      <c r="J86" s="2" t="n">
        <v>9674</v>
      </c>
      <c r="K86" s="0" t="n">
        <v>107</v>
      </c>
      <c r="L86" s="2" t="n">
        <f aca="false">F86+G86+H86+I86</f>
        <v>6229</v>
      </c>
      <c r="M86" s="2" t="n">
        <f aca="false">J86-L86</f>
        <v>3445</v>
      </c>
      <c r="N86" s="3" t="n">
        <f aca="false">ROUND((J86-L86)/L86*100,2)</f>
        <v>55.31</v>
      </c>
    </row>
    <row r="87" customFormat="false" ht="15" hidden="false" customHeight="false" outlineLevel="0" collapsed="false">
      <c r="A87" s="0" t="n">
        <v>86</v>
      </c>
      <c r="B87" s="0" t="s">
        <v>183</v>
      </c>
      <c r="C87" s="0" t="s">
        <v>21</v>
      </c>
      <c r="D87" s="0" t="s">
        <v>16</v>
      </c>
      <c r="E87" s="0" t="s">
        <v>55</v>
      </c>
      <c r="F87" s="2" t="n">
        <v>531</v>
      </c>
      <c r="G87" s="2" t="n">
        <v>2829</v>
      </c>
      <c r="H87" s="2" t="n">
        <v>243</v>
      </c>
      <c r="I87" s="2" t="n">
        <v>1788</v>
      </c>
      <c r="J87" s="2" t="n">
        <v>20652</v>
      </c>
      <c r="K87" s="0" t="n">
        <v>98.2</v>
      </c>
      <c r="L87" s="2" t="n">
        <f aca="false">F87+G87+H87+I87</f>
        <v>5391</v>
      </c>
      <c r="M87" s="2" t="n">
        <f aca="false">J87-L87</f>
        <v>15261</v>
      </c>
      <c r="N87" s="3" t="n">
        <f aca="false">ROUND((J87-L87)/L87*100,2)</f>
        <v>283.08</v>
      </c>
    </row>
    <row r="88" customFormat="false" ht="15" hidden="false" customHeight="false" outlineLevel="0" collapsed="false">
      <c r="A88" s="0" t="n">
        <v>87</v>
      </c>
      <c r="B88" s="0" t="s">
        <v>184</v>
      </c>
      <c r="C88" s="0" t="s">
        <v>24</v>
      </c>
      <c r="D88" s="0" t="s">
        <v>25</v>
      </c>
      <c r="E88" s="0" t="s">
        <v>185</v>
      </c>
      <c r="F88" s="2" t="n">
        <v>2251</v>
      </c>
      <c r="G88" s="2" t="n">
        <v>3127</v>
      </c>
      <c r="H88" s="2" t="n">
        <v>314</v>
      </c>
      <c r="I88" s="2" t="n">
        <v>574</v>
      </c>
      <c r="J88" s="2" t="n">
        <v>15159</v>
      </c>
      <c r="K88" s="0" t="n">
        <v>81.2</v>
      </c>
      <c r="L88" s="2" t="n">
        <f aca="false">F88+G88+H88+I88</f>
        <v>6266</v>
      </c>
      <c r="M88" s="2" t="n">
        <f aca="false">J88-L88</f>
        <v>8893</v>
      </c>
      <c r="N88" s="3" t="n">
        <f aca="false">ROUND((J88-L88)/L88*100,2)</f>
        <v>141.92</v>
      </c>
    </row>
    <row r="89" customFormat="false" ht="15" hidden="false" customHeight="false" outlineLevel="0" collapsed="false">
      <c r="A89" s="0" t="n">
        <v>88</v>
      </c>
      <c r="B89" s="0" t="s">
        <v>186</v>
      </c>
      <c r="C89" s="0" t="s">
        <v>28</v>
      </c>
      <c r="D89" s="0" t="s">
        <v>25</v>
      </c>
      <c r="E89" s="0" t="s">
        <v>187</v>
      </c>
      <c r="F89" s="2" t="n">
        <v>539</v>
      </c>
      <c r="G89" s="2" t="n">
        <v>1276</v>
      </c>
      <c r="H89" s="2" t="n">
        <v>269</v>
      </c>
      <c r="I89" s="2" t="n">
        <v>655</v>
      </c>
      <c r="J89" s="2" t="n">
        <v>9080</v>
      </c>
      <c r="K89" s="0" t="n">
        <v>40.8</v>
      </c>
      <c r="L89" s="2" t="n">
        <f aca="false">F89+G89+H89+I89</f>
        <v>2739</v>
      </c>
      <c r="M89" s="2" t="n">
        <f aca="false">J89-L89</f>
        <v>6341</v>
      </c>
      <c r="N89" s="3" t="n">
        <f aca="false">ROUND((J89-L89)/L89*100,2)</f>
        <v>231.51</v>
      </c>
    </row>
    <row r="90" customFormat="false" ht="15" hidden="false" customHeight="false" outlineLevel="0" collapsed="false">
      <c r="A90" s="0" t="n">
        <v>89</v>
      </c>
      <c r="B90" s="0" t="s">
        <v>188</v>
      </c>
      <c r="C90" s="0" t="s">
        <v>41</v>
      </c>
      <c r="D90" s="0" t="s">
        <v>42</v>
      </c>
      <c r="E90" s="0" t="s">
        <v>189</v>
      </c>
      <c r="F90" s="2" t="n">
        <v>67</v>
      </c>
      <c r="G90" s="2" t="n">
        <v>1334</v>
      </c>
      <c r="H90" s="2" t="n">
        <v>170</v>
      </c>
      <c r="I90" s="2" t="n">
        <v>248</v>
      </c>
      <c r="J90" s="2" t="n">
        <v>4732</v>
      </c>
      <c r="K90" s="0" t="n">
        <v>48.9</v>
      </c>
      <c r="L90" s="2" t="n">
        <f aca="false">F90+G90+H90+I90</f>
        <v>1819</v>
      </c>
      <c r="M90" s="2" t="n">
        <f aca="false">J90-L90</f>
        <v>2913</v>
      </c>
      <c r="N90" s="3" t="n">
        <f aca="false">ROUND((J90-L90)/L90*100,2)</f>
        <v>160.14</v>
      </c>
    </row>
    <row r="91" customFormat="false" ht="15" hidden="false" customHeight="false" outlineLevel="0" collapsed="false">
      <c r="A91" s="0" t="n">
        <v>90</v>
      </c>
      <c r="B91" s="0" t="s">
        <v>190</v>
      </c>
      <c r="C91" s="0" t="s">
        <v>28</v>
      </c>
      <c r="D91" s="0" t="s">
        <v>25</v>
      </c>
      <c r="E91" s="0" t="s">
        <v>169</v>
      </c>
      <c r="F91" s="2" t="n">
        <v>666</v>
      </c>
      <c r="G91" s="2" t="n">
        <v>1065</v>
      </c>
      <c r="H91" s="2" t="n">
        <v>259</v>
      </c>
      <c r="I91" s="2" t="n">
        <v>323</v>
      </c>
      <c r="J91" s="2" t="n">
        <v>3857</v>
      </c>
      <c r="K91" s="0" t="n">
        <v>42.2</v>
      </c>
      <c r="L91" s="2" t="n">
        <f aca="false">F91+G91+H91+I91</f>
        <v>2313</v>
      </c>
      <c r="M91" s="2" t="n">
        <f aca="false">J91-L91</f>
        <v>1544</v>
      </c>
      <c r="N91" s="3" t="n">
        <f aca="false">ROUND((J91-L91)/L91*100,2)</f>
        <v>66.75</v>
      </c>
    </row>
    <row r="92" customFormat="false" ht="15" hidden="false" customHeight="false" outlineLevel="0" collapsed="false">
      <c r="A92" s="0" t="n">
        <v>91</v>
      </c>
      <c r="B92" s="0" t="s">
        <v>191</v>
      </c>
      <c r="C92" s="0" t="s">
        <v>24</v>
      </c>
      <c r="D92" s="0" t="s">
        <v>25</v>
      </c>
      <c r="E92" s="0" t="s">
        <v>192</v>
      </c>
      <c r="F92" s="2" t="n">
        <v>1555</v>
      </c>
      <c r="G92" s="2" t="n">
        <v>3022</v>
      </c>
      <c r="H92" s="2" t="n">
        <v>332</v>
      </c>
      <c r="I92" s="2" t="n">
        <v>630</v>
      </c>
      <c r="J92" s="2" t="n">
        <v>17317</v>
      </c>
      <c r="K92" s="0" t="n">
        <v>82.8</v>
      </c>
      <c r="L92" s="2" t="n">
        <f aca="false">F92+G92+H92+I92</f>
        <v>5539</v>
      </c>
      <c r="M92" s="2" t="n">
        <f aca="false">J92-L92</f>
        <v>11778</v>
      </c>
      <c r="N92" s="3" t="n">
        <f aca="false">ROUND((J92-L92)/L92*100,2)</f>
        <v>212.64</v>
      </c>
    </row>
    <row r="93" customFormat="false" ht="15" hidden="false" customHeight="false" outlineLevel="0" collapsed="false">
      <c r="A93" s="0" t="n">
        <v>92</v>
      </c>
      <c r="B93" s="0" t="s">
        <v>193</v>
      </c>
      <c r="C93" s="0" t="s">
        <v>21</v>
      </c>
      <c r="D93" s="0" t="s">
        <v>16</v>
      </c>
      <c r="E93" s="0" t="s">
        <v>194</v>
      </c>
      <c r="F93" s="2" t="n">
        <v>604</v>
      </c>
      <c r="G93" s="2" t="n">
        <v>2177</v>
      </c>
      <c r="H93" s="2" t="n">
        <v>211</v>
      </c>
      <c r="I93" s="2" t="n">
        <v>735</v>
      </c>
      <c r="J93" s="2" t="n">
        <v>10894</v>
      </c>
      <c r="K93" s="0" t="n">
        <v>72.2</v>
      </c>
      <c r="L93" s="2" t="n">
        <f aca="false">F93+G93+H93+I93</f>
        <v>3727</v>
      </c>
      <c r="M93" s="2" t="n">
        <f aca="false">J93-L93</f>
        <v>7167</v>
      </c>
      <c r="N93" s="3" t="n">
        <f aca="false">ROUND((J93-L93)/L93*100,2)</f>
        <v>192.3</v>
      </c>
    </row>
    <row r="94" customFormat="false" ht="15" hidden="false" customHeight="false" outlineLevel="0" collapsed="false">
      <c r="A94" s="0" t="n">
        <v>93</v>
      </c>
      <c r="B94" s="0" t="s">
        <v>195</v>
      </c>
      <c r="C94" s="0" t="s">
        <v>41</v>
      </c>
      <c r="D94" s="0" t="s">
        <v>42</v>
      </c>
      <c r="E94" s="0" t="s">
        <v>196</v>
      </c>
      <c r="F94" s="2" t="n">
        <v>83</v>
      </c>
      <c r="G94" s="2" t="n">
        <v>1361</v>
      </c>
      <c r="H94" s="2" t="n">
        <v>316</v>
      </c>
      <c r="I94" s="2" t="n">
        <v>132</v>
      </c>
      <c r="J94" s="2" t="n">
        <v>4490</v>
      </c>
      <c r="K94" s="0" t="n">
        <v>37.9</v>
      </c>
      <c r="L94" s="2" t="n">
        <f aca="false">F94+G94+H94+I94</f>
        <v>1892</v>
      </c>
      <c r="M94" s="2" t="n">
        <f aca="false">J94-L94</f>
        <v>2598</v>
      </c>
      <c r="N94" s="3" t="n">
        <f aca="false">ROUND((J94-L94)/L94*100,2)</f>
        <v>137.32</v>
      </c>
    </row>
    <row r="95" customFormat="false" ht="15" hidden="false" customHeight="false" outlineLevel="0" collapsed="false">
      <c r="A95" s="0" t="n">
        <v>94</v>
      </c>
      <c r="B95" s="0" t="s">
        <v>197</v>
      </c>
      <c r="C95" s="0" t="s">
        <v>41</v>
      </c>
      <c r="D95" s="0" t="s">
        <v>42</v>
      </c>
      <c r="E95" s="0" t="s">
        <v>198</v>
      </c>
      <c r="F95" s="2" t="n">
        <v>58</v>
      </c>
      <c r="G95" s="2" t="n">
        <v>1115</v>
      </c>
      <c r="H95" s="2" t="n">
        <v>234</v>
      </c>
      <c r="I95" s="2" t="n">
        <v>427</v>
      </c>
      <c r="J95" s="2" t="n">
        <v>4353</v>
      </c>
      <c r="K95" s="0" t="n">
        <v>27.5</v>
      </c>
      <c r="L95" s="2" t="n">
        <f aca="false">F95+G95+H95+I95</f>
        <v>1834</v>
      </c>
      <c r="M95" s="2" t="n">
        <f aca="false">J95-L95</f>
        <v>2519</v>
      </c>
      <c r="N95" s="3" t="n">
        <f aca="false">ROUND((J95-L95)/L95*100,2)</f>
        <v>137.35</v>
      </c>
    </row>
    <row r="96" customFormat="false" ht="15" hidden="false" customHeight="false" outlineLevel="0" collapsed="false">
      <c r="A96" s="0" t="n">
        <v>95</v>
      </c>
      <c r="B96" s="0" t="s">
        <v>199</v>
      </c>
      <c r="C96" s="0" t="s">
        <v>15</v>
      </c>
      <c r="D96" s="0" t="s">
        <v>16</v>
      </c>
      <c r="E96" s="0" t="s">
        <v>200</v>
      </c>
      <c r="F96" s="2" t="n">
        <v>1349</v>
      </c>
      <c r="G96" s="2" t="n">
        <v>10364</v>
      </c>
      <c r="H96" s="2" t="n">
        <v>1286</v>
      </c>
      <c r="I96" s="2" t="n">
        <v>4154</v>
      </c>
      <c r="J96" s="2" t="n">
        <v>41408</v>
      </c>
      <c r="K96" s="0" t="n">
        <v>305.5</v>
      </c>
      <c r="L96" s="2" t="n">
        <f aca="false">F96+G96+H96+I96</f>
        <v>17153</v>
      </c>
      <c r="M96" s="2" t="n">
        <f aca="false">J96-L96</f>
        <v>24255</v>
      </c>
      <c r="N96" s="3" t="n">
        <f aca="false">ROUND((J96-L96)/L96*100,2)</f>
        <v>141.4</v>
      </c>
    </row>
    <row r="97" customFormat="false" ht="15" hidden="false" customHeight="false" outlineLevel="0" collapsed="false">
      <c r="A97" s="0" t="n">
        <v>96</v>
      </c>
      <c r="B97" s="0" t="s">
        <v>201</v>
      </c>
      <c r="C97" s="0" t="s">
        <v>28</v>
      </c>
      <c r="D97" s="0" t="s">
        <v>25</v>
      </c>
      <c r="E97" s="0" t="s">
        <v>202</v>
      </c>
      <c r="F97" s="2" t="n">
        <v>751</v>
      </c>
      <c r="G97" s="2" t="n">
        <v>1749</v>
      </c>
      <c r="H97" s="2" t="n">
        <v>163</v>
      </c>
      <c r="I97" s="2" t="n">
        <v>509</v>
      </c>
      <c r="J97" s="2" t="n">
        <v>5672</v>
      </c>
      <c r="K97" s="0" t="n">
        <v>63.7</v>
      </c>
      <c r="L97" s="2" t="n">
        <f aca="false">F97+G97+H97+I97</f>
        <v>3172</v>
      </c>
      <c r="M97" s="2" t="n">
        <f aca="false">J97-L97</f>
        <v>2500</v>
      </c>
      <c r="N97" s="3" t="n">
        <f aca="false">ROUND((J97-L97)/L97*100,2)</f>
        <v>78.81</v>
      </c>
    </row>
    <row r="98" customFormat="false" ht="15" hidden="false" customHeight="false" outlineLevel="0" collapsed="false">
      <c r="A98" s="0" t="n">
        <v>97</v>
      </c>
      <c r="B98" s="0" t="s">
        <v>203</v>
      </c>
      <c r="C98" s="0" t="s">
        <v>28</v>
      </c>
      <c r="D98" s="0" t="s">
        <v>25</v>
      </c>
      <c r="E98" s="0" t="s">
        <v>204</v>
      </c>
      <c r="F98" s="2" t="n">
        <v>544</v>
      </c>
      <c r="G98" s="2" t="n">
        <v>1915</v>
      </c>
      <c r="H98" s="2" t="n">
        <v>214</v>
      </c>
      <c r="I98" s="2" t="n">
        <v>579</v>
      </c>
      <c r="J98" s="2" t="n">
        <v>8744</v>
      </c>
      <c r="K98" s="0" t="n">
        <v>53.6</v>
      </c>
      <c r="L98" s="2" t="n">
        <f aca="false">F98+G98+H98+I98</f>
        <v>3252</v>
      </c>
      <c r="M98" s="2" t="n">
        <f aca="false">J98-L98</f>
        <v>5492</v>
      </c>
      <c r="N98" s="3" t="n">
        <f aca="false">ROUND((J98-L98)/L98*100,2)</f>
        <v>168.88</v>
      </c>
    </row>
    <row r="99" customFormat="false" ht="15" hidden="false" customHeight="false" outlineLevel="0" collapsed="false">
      <c r="A99" s="0" t="n">
        <v>98</v>
      </c>
      <c r="B99" s="0" t="s">
        <v>205</v>
      </c>
      <c r="C99" s="0" t="s">
        <v>15</v>
      </c>
      <c r="D99" s="0" t="s">
        <v>16</v>
      </c>
      <c r="E99" s="0" t="s">
        <v>206</v>
      </c>
      <c r="F99" s="2" t="n">
        <v>1310</v>
      </c>
      <c r="G99" s="2" t="n">
        <v>15241</v>
      </c>
      <c r="H99" s="2" t="n">
        <v>839</v>
      </c>
      <c r="I99" s="2" t="n">
        <v>8250</v>
      </c>
      <c r="J99" s="2" t="n">
        <v>29696</v>
      </c>
      <c r="K99" s="0" t="n">
        <v>597.8</v>
      </c>
      <c r="L99" s="2" t="n">
        <f aca="false">F99+G99+H99+I99</f>
        <v>25640</v>
      </c>
      <c r="M99" s="2" t="n">
        <f aca="false">J99-L99</f>
        <v>4056</v>
      </c>
      <c r="N99" s="3" t="n">
        <f aca="false">ROUND((J99-L99)/L99*100,2)</f>
        <v>15.82</v>
      </c>
    </row>
    <row r="100" customFormat="false" ht="15" hidden="false" customHeight="false" outlineLevel="0" collapsed="false">
      <c r="A100" s="0" t="n">
        <v>99</v>
      </c>
      <c r="B100" s="0" t="s">
        <v>207</v>
      </c>
      <c r="C100" s="0" t="s">
        <v>28</v>
      </c>
      <c r="D100" s="0" t="s">
        <v>25</v>
      </c>
      <c r="E100" s="0" t="s">
        <v>208</v>
      </c>
      <c r="F100" s="2" t="n">
        <v>847</v>
      </c>
      <c r="G100" s="2" t="n">
        <v>847</v>
      </c>
      <c r="H100" s="2" t="n">
        <v>176</v>
      </c>
      <c r="I100" s="2" t="n">
        <v>723</v>
      </c>
      <c r="J100" s="2" t="n">
        <v>8214</v>
      </c>
      <c r="K100" s="0" t="n">
        <v>23.7</v>
      </c>
      <c r="L100" s="2" t="n">
        <f aca="false">F100+G100+H100+I100</f>
        <v>2593</v>
      </c>
      <c r="M100" s="2" t="n">
        <f aca="false">J100-L100</f>
        <v>5621</v>
      </c>
      <c r="N100" s="3" t="n">
        <f aca="false">ROUND((J100-L100)/L100*100,2)</f>
        <v>216.78</v>
      </c>
    </row>
    <row r="101" customFormat="false" ht="15" hidden="false" customHeight="false" outlineLevel="0" collapsed="false">
      <c r="A101" s="0" t="n">
        <v>100</v>
      </c>
      <c r="B101" s="0" t="s">
        <v>209</v>
      </c>
      <c r="C101" s="0" t="s">
        <v>41</v>
      </c>
      <c r="D101" s="0" t="s">
        <v>42</v>
      </c>
      <c r="E101" s="0" t="s">
        <v>120</v>
      </c>
      <c r="F101" s="2" t="n">
        <v>31</v>
      </c>
      <c r="G101" s="2" t="n">
        <v>1118</v>
      </c>
      <c r="H101" s="2" t="n">
        <v>158</v>
      </c>
      <c r="I101" s="2" t="n">
        <v>125</v>
      </c>
      <c r="J101" s="2" t="n">
        <v>3489</v>
      </c>
      <c r="K101" s="0" t="n">
        <v>38.5</v>
      </c>
      <c r="L101" s="2" t="n">
        <f aca="false">F101+G101+H101+I101</f>
        <v>1432</v>
      </c>
      <c r="M101" s="2" t="n">
        <f aca="false">J101-L101</f>
        <v>2057</v>
      </c>
      <c r="N101" s="3" t="n">
        <f aca="false">ROUND((J101-L101)/L101*100,2)</f>
        <v>143.65</v>
      </c>
    </row>
    <row r="102" customFormat="false" ht="15" hidden="false" customHeight="false" outlineLevel="0" collapsed="false">
      <c r="A102" s="0" t="n">
        <v>101</v>
      </c>
      <c r="B102" s="0" t="s">
        <v>210</v>
      </c>
      <c r="C102" s="0" t="s">
        <v>28</v>
      </c>
      <c r="D102" s="0" t="s">
        <v>25</v>
      </c>
      <c r="E102" s="0" t="s">
        <v>211</v>
      </c>
      <c r="F102" s="2" t="n">
        <v>844</v>
      </c>
      <c r="G102" s="2" t="n">
        <v>1775</v>
      </c>
      <c r="H102" s="2" t="n">
        <v>214</v>
      </c>
      <c r="I102" s="2" t="n">
        <v>624</v>
      </c>
      <c r="J102" s="2" t="n">
        <v>6245</v>
      </c>
      <c r="K102" s="0" t="n">
        <v>69.4</v>
      </c>
      <c r="L102" s="2" t="n">
        <f aca="false">F102+G102+H102+I102</f>
        <v>3457</v>
      </c>
      <c r="M102" s="2" t="n">
        <f aca="false">J102-L102</f>
        <v>2788</v>
      </c>
      <c r="N102" s="3" t="n">
        <f aca="false">ROUND((J102-L102)/L102*100,2)</f>
        <v>80.65</v>
      </c>
    </row>
    <row r="103" customFormat="false" ht="15" hidden="false" customHeight="false" outlineLevel="0" collapsed="false">
      <c r="A103" s="0" t="n">
        <v>102</v>
      </c>
      <c r="B103" s="0" t="s">
        <v>212</v>
      </c>
      <c r="C103" s="0" t="s">
        <v>15</v>
      </c>
      <c r="D103" s="0" t="s">
        <v>16</v>
      </c>
      <c r="E103" s="0" t="s">
        <v>213</v>
      </c>
      <c r="F103" s="2" t="n">
        <v>818</v>
      </c>
      <c r="G103" s="2" t="n">
        <v>11224</v>
      </c>
      <c r="H103" s="2" t="n">
        <v>1079</v>
      </c>
      <c r="I103" s="2" t="n">
        <v>3593</v>
      </c>
      <c r="J103" s="2" t="n">
        <v>17433</v>
      </c>
      <c r="K103" s="0" t="n">
        <v>282.4</v>
      </c>
      <c r="L103" s="2" t="n">
        <f aca="false">F103+G103+H103+I103</f>
        <v>16714</v>
      </c>
      <c r="M103" s="2" t="n">
        <f aca="false">J103-L103</f>
        <v>719</v>
      </c>
      <c r="N103" s="3" t="n">
        <f aca="false">ROUND((J103-L103)/L103*100,2)</f>
        <v>4.3</v>
      </c>
    </row>
    <row r="104" customFormat="false" ht="15" hidden="false" customHeight="false" outlineLevel="0" collapsed="false">
      <c r="A104" s="0" t="n">
        <v>103</v>
      </c>
      <c r="B104" s="0" t="s">
        <v>214</v>
      </c>
      <c r="C104" s="0" t="s">
        <v>21</v>
      </c>
      <c r="D104" s="0" t="s">
        <v>16</v>
      </c>
      <c r="E104" s="0" t="s">
        <v>215</v>
      </c>
      <c r="F104" s="2" t="n">
        <v>259</v>
      </c>
      <c r="G104" s="2" t="n">
        <v>1879</v>
      </c>
      <c r="H104" s="2" t="n">
        <v>683</v>
      </c>
      <c r="I104" s="2" t="n">
        <v>1512</v>
      </c>
      <c r="J104" s="2" t="n">
        <v>10304</v>
      </c>
      <c r="K104" s="0" t="n">
        <v>50.8</v>
      </c>
      <c r="L104" s="2" t="n">
        <f aca="false">F104+G104+H104+I104</f>
        <v>4333</v>
      </c>
      <c r="M104" s="2" t="n">
        <f aca="false">J104-L104</f>
        <v>5971</v>
      </c>
      <c r="N104" s="3" t="n">
        <f aca="false">ROUND((J104-L104)/L104*100,2)</f>
        <v>137.8</v>
      </c>
    </row>
    <row r="105" customFormat="false" ht="15" hidden="false" customHeight="false" outlineLevel="0" collapsed="false">
      <c r="A105" s="0" t="n">
        <v>104</v>
      </c>
      <c r="B105" s="0" t="s">
        <v>216</v>
      </c>
      <c r="C105" s="0" t="s">
        <v>15</v>
      </c>
      <c r="D105" s="0" t="s">
        <v>16</v>
      </c>
      <c r="E105" s="0" t="s">
        <v>217</v>
      </c>
      <c r="F105" s="2" t="n">
        <v>891</v>
      </c>
      <c r="G105" s="2" t="n">
        <v>12212</v>
      </c>
      <c r="H105" s="2" t="n">
        <v>1993</v>
      </c>
      <c r="I105" s="2" t="n">
        <v>3101</v>
      </c>
      <c r="J105" s="2" t="n">
        <v>37428</v>
      </c>
      <c r="K105" s="0" t="n">
        <v>323.2</v>
      </c>
      <c r="L105" s="2" t="n">
        <f aca="false">F105+G105+H105+I105</f>
        <v>18197</v>
      </c>
      <c r="M105" s="2" t="n">
        <f aca="false">J105-L105</f>
        <v>19231</v>
      </c>
      <c r="N105" s="3" t="n">
        <f aca="false">ROUND((J105-L105)/L105*100,2)</f>
        <v>105.68</v>
      </c>
    </row>
    <row r="106" customFormat="false" ht="15" hidden="false" customHeight="false" outlineLevel="0" collapsed="false">
      <c r="A106" s="0" t="n">
        <v>105</v>
      </c>
      <c r="B106" s="0" t="s">
        <v>218</v>
      </c>
      <c r="C106" s="0" t="s">
        <v>28</v>
      </c>
      <c r="D106" s="0" t="s">
        <v>25</v>
      </c>
      <c r="E106" s="0" t="s">
        <v>219</v>
      </c>
      <c r="F106" s="2" t="n">
        <v>577</v>
      </c>
      <c r="G106" s="2" t="n">
        <v>1891</v>
      </c>
      <c r="H106" s="2" t="n">
        <v>165</v>
      </c>
      <c r="I106" s="2" t="n">
        <v>443</v>
      </c>
      <c r="J106" s="2" t="n">
        <v>7672</v>
      </c>
      <c r="K106" s="0" t="n">
        <v>53.5</v>
      </c>
      <c r="L106" s="2" t="n">
        <f aca="false">F106+G106+H106+I106</f>
        <v>3076</v>
      </c>
      <c r="M106" s="2" t="n">
        <f aca="false">J106-L106</f>
        <v>4596</v>
      </c>
      <c r="N106" s="3" t="n">
        <f aca="false">ROUND((J106-L106)/L106*100,2)</f>
        <v>149.41</v>
      </c>
    </row>
    <row r="107" customFormat="false" ht="15" hidden="false" customHeight="false" outlineLevel="0" collapsed="false">
      <c r="A107" s="0" t="n">
        <v>106</v>
      </c>
      <c r="B107" s="0" t="s">
        <v>220</v>
      </c>
      <c r="C107" s="0" t="s">
        <v>41</v>
      </c>
      <c r="D107" s="0" t="s">
        <v>42</v>
      </c>
      <c r="E107" s="0" t="s">
        <v>147</v>
      </c>
      <c r="F107" s="2" t="n">
        <v>55</v>
      </c>
      <c r="G107" s="2" t="n">
        <v>1077</v>
      </c>
      <c r="H107" s="2" t="n">
        <v>390</v>
      </c>
      <c r="I107" s="2" t="n">
        <v>348</v>
      </c>
      <c r="J107" s="2" t="n">
        <v>5092</v>
      </c>
      <c r="K107" s="0" t="n">
        <v>26</v>
      </c>
      <c r="L107" s="2" t="n">
        <f aca="false">F107+G107+H107+I107</f>
        <v>1870</v>
      </c>
      <c r="M107" s="2" t="n">
        <f aca="false">J107-L107</f>
        <v>3222</v>
      </c>
      <c r="N107" s="3" t="n">
        <f aca="false">ROUND((J107-L107)/L107*100,2)</f>
        <v>172.3</v>
      </c>
    </row>
    <row r="108" customFormat="false" ht="15" hidden="false" customHeight="false" outlineLevel="0" collapsed="false">
      <c r="A108" s="0" t="n">
        <v>107</v>
      </c>
      <c r="B108" s="0" t="s">
        <v>221</v>
      </c>
      <c r="C108" s="0" t="s">
        <v>41</v>
      </c>
      <c r="D108" s="0" t="s">
        <v>42</v>
      </c>
      <c r="E108" s="0" t="s">
        <v>222</v>
      </c>
      <c r="F108" s="2" t="n">
        <v>54</v>
      </c>
      <c r="G108" s="2" t="n">
        <v>527</v>
      </c>
      <c r="H108" s="2" t="n">
        <v>119</v>
      </c>
      <c r="I108" s="2" t="n">
        <v>152</v>
      </c>
      <c r="J108" s="2" t="n">
        <v>1562</v>
      </c>
      <c r="K108" s="0" t="n">
        <v>13.1</v>
      </c>
      <c r="L108" s="2" t="n">
        <f aca="false">F108+G108+H108+I108</f>
        <v>852</v>
      </c>
      <c r="M108" s="2" t="n">
        <f aca="false">J108-L108</f>
        <v>710</v>
      </c>
      <c r="N108" s="3" t="n">
        <f aca="false">ROUND((J108-L108)/L108*100,2)</f>
        <v>83.33</v>
      </c>
    </row>
    <row r="109" customFormat="false" ht="15" hidden="false" customHeight="false" outlineLevel="0" collapsed="false">
      <c r="A109" s="0" t="n">
        <v>108</v>
      </c>
      <c r="B109" s="0" t="s">
        <v>223</v>
      </c>
      <c r="C109" s="0" t="s">
        <v>21</v>
      </c>
      <c r="D109" s="0" t="s">
        <v>16</v>
      </c>
      <c r="E109" s="0" t="s">
        <v>224</v>
      </c>
      <c r="F109" s="2" t="n">
        <v>526</v>
      </c>
      <c r="G109" s="2" t="n">
        <v>1150</v>
      </c>
      <c r="H109" s="2" t="n">
        <v>608</v>
      </c>
      <c r="I109" s="2" t="n">
        <v>958</v>
      </c>
      <c r="J109" s="2" t="n">
        <v>7789</v>
      </c>
      <c r="K109" s="0" t="n">
        <v>25.9</v>
      </c>
      <c r="L109" s="2" t="n">
        <f aca="false">F109+G109+H109+I109</f>
        <v>3242</v>
      </c>
      <c r="M109" s="2" t="n">
        <f aca="false">J109-L109</f>
        <v>4547</v>
      </c>
      <c r="N109" s="3" t="n">
        <f aca="false">ROUND((J109-L109)/L109*100,2)</f>
        <v>140.25</v>
      </c>
    </row>
    <row r="110" customFormat="false" ht="15" hidden="false" customHeight="false" outlineLevel="0" collapsed="false">
      <c r="A110" s="0" t="n">
        <v>109</v>
      </c>
      <c r="B110" s="0" t="s">
        <v>225</v>
      </c>
      <c r="C110" s="0" t="s">
        <v>24</v>
      </c>
      <c r="D110" s="0" t="s">
        <v>25</v>
      </c>
      <c r="E110" s="0" t="s">
        <v>137</v>
      </c>
      <c r="F110" s="2" t="n">
        <v>1185</v>
      </c>
      <c r="G110" s="2" t="n">
        <v>3332</v>
      </c>
      <c r="H110" s="2" t="n">
        <v>360</v>
      </c>
      <c r="I110" s="2" t="n">
        <v>695</v>
      </c>
      <c r="J110" s="2" t="n">
        <v>17683</v>
      </c>
      <c r="K110" s="0" t="n">
        <v>88</v>
      </c>
      <c r="L110" s="2" t="n">
        <f aca="false">F110+G110+H110+I110</f>
        <v>5572</v>
      </c>
      <c r="M110" s="2" t="n">
        <f aca="false">J110-L110</f>
        <v>12111</v>
      </c>
      <c r="N110" s="3" t="n">
        <f aca="false">ROUND((J110-L110)/L110*100,2)</f>
        <v>217.35</v>
      </c>
    </row>
    <row r="111" customFormat="false" ht="15" hidden="false" customHeight="false" outlineLevel="0" collapsed="false">
      <c r="A111" s="0" t="n">
        <v>110</v>
      </c>
      <c r="B111" s="0" t="s">
        <v>226</v>
      </c>
      <c r="C111" s="0" t="s">
        <v>24</v>
      </c>
      <c r="D111" s="0" t="s">
        <v>25</v>
      </c>
      <c r="E111" s="0" t="s">
        <v>227</v>
      </c>
      <c r="F111" s="2" t="n">
        <v>1590</v>
      </c>
      <c r="G111" s="2" t="n">
        <v>2248</v>
      </c>
      <c r="H111" s="2" t="n">
        <v>178</v>
      </c>
      <c r="I111" s="2" t="n">
        <v>818</v>
      </c>
      <c r="J111" s="2" t="n">
        <v>14672</v>
      </c>
      <c r="K111" s="0" t="n">
        <v>56.9</v>
      </c>
      <c r="L111" s="2" t="n">
        <f aca="false">F111+G111+H111+I111</f>
        <v>4834</v>
      </c>
      <c r="M111" s="2" t="n">
        <f aca="false">J111-L111</f>
        <v>9838</v>
      </c>
      <c r="N111" s="3" t="n">
        <f aca="false">ROUND((J111-L111)/L111*100,2)</f>
        <v>203.52</v>
      </c>
    </row>
    <row r="112" customFormat="false" ht="15" hidden="false" customHeight="false" outlineLevel="0" collapsed="false">
      <c r="A112" s="0" t="n">
        <v>111</v>
      </c>
      <c r="B112" s="0" t="s">
        <v>228</v>
      </c>
      <c r="C112" s="0" t="s">
        <v>21</v>
      </c>
      <c r="D112" s="0" t="s">
        <v>16</v>
      </c>
      <c r="E112" s="0" t="s">
        <v>229</v>
      </c>
      <c r="F112" s="2" t="n">
        <v>508</v>
      </c>
      <c r="G112" s="2" t="n">
        <v>1960</v>
      </c>
      <c r="H112" s="2" t="n">
        <v>251</v>
      </c>
      <c r="I112" s="2" t="n">
        <v>521</v>
      </c>
      <c r="J112" s="2" t="n">
        <v>11944</v>
      </c>
      <c r="K112" s="0" t="n">
        <v>75.4</v>
      </c>
      <c r="L112" s="2" t="n">
        <f aca="false">F112+G112+H112+I112</f>
        <v>3240</v>
      </c>
      <c r="M112" s="2" t="n">
        <f aca="false">J112-L112</f>
        <v>8704</v>
      </c>
      <c r="N112" s="3" t="n">
        <f aca="false">ROUND((J112-L112)/L112*100,2)</f>
        <v>268.64</v>
      </c>
    </row>
    <row r="113" customFormat="false" ht="15" hidden="false" customHeight="false" outlineLevel="0" collapsed="false">
      <c r="A113" s="0" t="n">
        <v>112</v>
      </c>
      <c r="B113" s="0" t="s">
        <v>230</v>
      </c>
      <c r="C113" s="0" t="s">
        <v>21</v>
      </c>
      <c r="D113" s="0" t="s">
        <v>16</v>
      </c>
      <c r="E113" s="0" t="s">
        <v>180</v>
      </c>
      <c r="F113" s="2" t="n">
        <v>363</v>
      </c>
      <c r="G113" s="2" t="n">
        <v>2668</v>
      </c>
      <c r="H113" s="2" t="n">
        <v>678</v>
      </c>
      <c r="I113" s="2" t="n">
        <v>1330</v>
      </c>
      <c r="J113" s="2" t="n">
        <v>7926</v>
      </c>
      <c r="K113" s="0" t="n">
        <v>68.6</v>
      </c>
      <c r="L113" s="2" t="n">
        <f aca="false">F113+G113+H113+I113</f>
        <v>5039</v>
      </c>
      <c r="M113" s="2" t="n">
        <f aca="false">J113-L113</f>
        <v>2887</v>
      </c>
      <c r="N113" s="3" t="n">
        <f aca="false">ROUND((J113-L113)/L113*100,2)</f>
        <v>57.29</v>
      </c>
    </row>
    <row r="114" customFormat="false" ht="15" hidden="false" customHeight="false" outlineLevel="0" collapsed="false">
      <c r="A114" s="0" t="n">
        <v>113</v>
      </c>
      <c r="B114" s="0" t="s">
        <v>231</v>
      </c>
      <c r="C114" s="0" t="s">
        <v>24</v>
      </c>
      <c r="D114" s="0" t="s">
        <v>25</v>
      </c>
      <c r="E114" s="0" t="s">
        <v>232</v>
      </c>
      <c r="F114" s="2" t="n">
        <v>2076</v>
      </c>
      <c r="G114" s="2" t="n">
        <v>1561</v>
      </c>
      <c r="H114" s="2" t="n">
        <v>370</v>
      </c>
      <c r="I114" s="2" t="n">
        <v>564</v>
      </c>
      <c r="J114" s="2" t="n">
        <v>6889</v>
      </c>
      <c r="K114" s="0" t="n">
        <v>42.2</v>
      </c>
      <c r="L114" s="2" t="n">
        <f aca="false">F114+G114+H114+I114</f>
        <v>4571</v>
      </c>
      <c r="M114" s="2" t="n">
        <f aca="false">J114-L114</f>
        <v>2318</v>
      </c>
      <c r="N114" s="3" t="n">
        <f aca="false">ROUND((J114-L114)/L114*100,2)</f>
        <v>50.71</v>
      </c>
    </row>
    <row r="115" customFormat="false" ht="15" hidden="false" customHeight="false" outlineLevel="0" collapsed="false">
      <c r="A115" s="0" t="n">
        <v>114</v>
      </c>
      <c r="B115" s="0" t="s">
        <v>233</v>
      </c>
      <c r="C115" s="0" t="s">
        <v>41</v>
      </c>
      <c r="D115" s="0" t="s">
        <v>42</v>
      </c>
      <c r="E115" s="0" t="s">
        <v>234</v>
      </c>
      <c r="F115" s="2" t="n">
        <v>2</v>
      </c>
      <c r="G115" s="2" t="n">
        <v>726</v>
      </c>
      <c r="H115" s="2" t="n">
        <v>364</v>
      </c>
      <c r="I115" s="2" t="n">
        <v>129</v>
      </c>
      <c r="J115" s="2" t="n">
        <v>2828</v>
      </c>
      <c r="K115" s="0" t="n">
        <v>16.4</v>
      </c>
      <c r="L115" s="2" t="n">
        <f aca="false">F115+G115+H115+I115</f>
        <v>1221</v>
      </c>
      <c r="M115" s="2" t="n">
        <f aca="false">J115-L115</f>
        <v>1607</v>
      </c>
      <c r="N115" s="3" t="n">
        <f aca="false">ROUND((J115-L115)/L115*100,2)</f>
        <v>131.61</v>
      </c>
    </row>
    <row r="116" customFormat="false" ht="15" hidden="false" customHeight="false" outlineLevel="0" collapsed="false">
      <c r="A116" s="0" t="n">
        <v>115</v>
      </c>
      <c r="B116" s="0" t="s">
        <v>235</v>
      </c>
      <c r="C116" s="0" t="s">
        <v>15</v>
      </c>
      <c r="D116" s="0" t="s">
        <v>16</v>
      </c>
      <c r="E116" s="0" t="s">
        <v>236</v>
      </c>
      <c r="F116" s="2" t="n">
        <v>961</v>
      </c>
      <c r="G116" s="2" t="n">
        <v>13722</v>
      </c>
      <c r="H116" s="2" t="n">
        <v>1363</v>
      </c>
      <c r="I116" s="2" t="n">
        <v>4753</v>
      </c>
      <c r="J116" s="2" t="n">
        <v>51555</v>
      </c>
      <c r="K116" s="0" t="n">
        <v>387.6</v>
      </c>
      <c r="L116" s="2" t="n">
        <f aca="false">F116+G116+H116+I116</f>
        <v>20799</v>
      </c>
      <c r="M116" s="2" t="n">
        <f aca="false">J116-L116</f>
        <v>30756</v>
      </c>
      <c r="N116" s="3" t="n">
        <f aca="false">ROUND((J116-L116)/L116*100,2)</f>
        <v>147.87</v>
      </c>
    </row>
    <row r="117" customFormat="false" ht="15" hidden="false" customHeight="false" outlineLevel="0" collapsed="false">
      <c r="A117" s="0" t="n">
        <v>116</v>
      </c>
      <c r="B117" s="0" t="s">
        <v>237</v>
      </c>
      <c r="C117" s="0" t="s">
        <v>24</v>
      </c>
      <c r="D117" s="0" t="s">
        <v>25</v>
      </c>
      <c r="E117" s="0" t="s">
        <v>234</v>
      </c>
      <c r="F117" s="2" t="n">
        <v>1038</v>
      </c>
      <c r="G117" s="2" t="n">
        <v>3117</v>
      </c>
      <c r="H117" s="2" t="n">
        <v>315</v>
      </c>
      <c r="I117" s="2" t="n">
        <v>717</v>
      </c>
      <c r="J117" s="2" t="n">
        <v>7266</v>
      </c>
      <c r="K117" s="0" t="n">
        <v>69.3</v>
      </c>
      <c r="L117" s="2" t="n">
        <f aca="false">F117+G117+H117+I117</f>
        <v>5187</v>
      </c>
      <c r="M117" s="2" t="n">
        <f aca="false">J117-L117</f>
        <v>2079</v>
      </c>
      <c r="N117" s="3" t="n">
        <f aca="false">ROUND((J117-L117)/L117*100,2)</f>
        <v>40.08</v>
      </c>
    </row>
    <row r="118" customFormat="false" ht="15" hidden="false" customHeight="false" outlineLevel="0" collapsed="false">
      <c r="A118" s="0" t="n">
        <v>117</v>
      </c>
      <c r="B118" s="0" t="s">
        <v>238</v>
      </c>
      <c r="C118" s="0" t="s">
        <v>21</v>
      </c>
      <c r="D118" s="0" t="s">
        <v>16</v>
      </c>
      <c r="E118" s="0" t="s">
        <v>239</v>
      </c>
      <c r="F118" s="2" t="n">
        <v>599</v>
      </c>
      <c r="G118" s="2" t="n">
        <v>1108</v>
      </c>
      <c r="H118" s="2" t="n">
        <v>659</v>
      </c>
      <c r="I118" s="2" t="n">
        <v>1145</v>
      </c>
      <c r="J118" s="2" t="n">
        <v>11570</v>
      </c>
      <c r="K118" s="0" t="n">
        <v>24.7</v>
      </c>
      <c r="L118" s="2" t="n">
        <f aca="false">F118+G118+H118+I118</f>
        <v>3511</v>
      </c>
      <c r="M118" s="2" t="n">
        <f aca="false">J118-L118</f>
        <v>8059</v>
      </c>
      <c r="N118" s="3" t="n">
        <f aca="false">ROUND((J118-L118)/L118*100,2)</f>
        <v>229.54</v>
      </c>
    </row>
    <row r="119" customFormat="false" ht="15" hidden="false" customHeight="false" outlineLevel="0" collapsed="false">
      <c r="A119" s="0" t="n">
        <v>118</v>
      </c>
      <c r="B119" s="0" t="s">
        <v>240</v>
      </c>
      <c r="C119" s="0" t="s">
        <v>15</v>
      </c>
      <c r="D119" s="0" t="s">
        <v>16</v>
      </c>
      <c r="E119" s="0" t="s">
        <v>102</v>
      </c>
      <c r="F119" s="2" t="n">
        <v>1175</v>
      </c>
      <c r="G119" s="2" t="n">
        <v>13967</v>
      </c>
      <c r="H119" s="2" t="n">
        <v>1323</v>
      </c>
      <c r="I119" s="2" t="n">
        <v>3092</v>
      </c>
      <c r="J119" s="2" t="n">
        <v>31274</v>
      </c>
      <c r="K119" s="0" t="n">
        <v>375.1</v>
      </c>
      <c r="L119" s="2" t="n">
        <f aca="false">F119+G119+H119+I119</f>
        <v>19557</v>
      </c>
      <c r="M119" s="2" t="n">
        <f aca="false">J119-L119</f>
        <v>11717</v>
      </c>
      <c r="N119" s="3" t="n">
        <f aca="false">ROUND((J119-L119)/L119*100,2)</f>
        <v>59.91</v>
      </c>
    </row>
    <row r="120" customFormat="false" ht="15" hidden="false" customHeight="false" outlineLevel="0" collapsed="false">
      <c r="A120" s="0" t="n">
        <v>119</v>
      </c>
      <c r="B120" s="0" t="s">
        <v>241</v>
      </c>
      <c r="C120" s="0" t="s">
        <v>24</v>
      </c>
      <c r="D120" s="0" t="s">
        <v>25</v>
      </c>
      <c r="E120" s="0" t="s">
        <v>242</v>
      </c>
      <c r="F120" s="2" t="n">
        <v>1489</v>
      </c>
      <c r="G120" s="2" t="n">
        <v>1856</v>
      </c>
      <c r="H120" s="2" t="n">
        <v>259</v>
      </c>
      <c r="I120" s="2" t="n">
        <v>840</v>
      </c>
      <c r="J120" s="2" t="n">
        <v>6343</v>
      </c>
      <c r="K120" s="0" t="n">
        <v>42.7</v>
      </c>
      <c r="L120" s="2" t="n">
        <f aca="false">F120+G120+H120+I120</f>
        <v>4444</v>
      </c>
      <c r="M120" s="2" t="n">
        <f aca="false">J120-L120</f>
        <v>1899</v>
      </c>
      <c r="N120" s="3" t="n">
        <f aca="false">ROUND((J120-L120)/L120*100,2)</f>
        <v>42.73</v>
      </c>
    </row>
    <row r="121" customFormat="false" ht="15" hidden="false" customHeight="false" outlineLevel="0" collapsed="false">
      <c r="A121" s="0" t="n">
        <v>120</v>
      </c>
      <c r="B121" s="0" t="s">
        <v>243</v>
      </c>
      <c r="C121" s="0" t="s">
        <v>15</v>
      </c>
      <c r="D121" s="0" t="s">
        <v>16</v>
      </c>
      <c r="E121" s="0" t="s">
        <v>244</v>
      </c>
      <c r="F121" s="2" t="n">
        <v>1393</v>
      </c>
      <c r="G121" s="2" t="n">
        <v>15954</v>
      </c>
      <c r="H121" s="2" t="n">
        <v>884</v>
      </c>
      <c r="I121" s="2" t="n">
        <v>8556</v>
      </c>
      <c r="J121" s="2" t="n">
        <v>60174</v>
      </c>
      <c r="K121" s="0" t="n">
        <v>511.7</v>
      </c>
      <c r="L121" s="2" t="n">
        <f aca="false">F121+G121+H121+I121</f>
        <v>26787</v>
      </c>
      <c r="M121" s="2" t="n">
        <f aca="false">J121-L121</f>
        <v>33387</v>
      </c>
      <c r="N121" s="3" t="n">
        <f aca="false">ROUND((J121-L121)/L121*100,2)</f>
        <v>124.64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" t="s">
        <v>2</v>
      </c>
      <c r="B1" s="4" t="s">
        <v>245</v>
      </c>
      <c r="C1" s="4" t="s">
        <v>246</v>
      </c>
      <c r="D1" s="4" t="s">
        <v>247</v>
      </c>
      <c r="E1" s="4" t="s">
        <v>248</v>
      </c>
      <c r="F1" s="4" t="s">
        <v>249</v>
      </c>
      <c r="G1" s="4" t="s">
        <v>11</v>
      </c>
      <c r="H1" s="4" t="s">
        <v>250</v>
      </c>
      <c r="I1" s="4" t="s">
        <v>251</v>
      </c>
      <c r="J1" s="4" t="s">
        <v>13</v>
      </c>
    </row>
    <row r="2" customFormat="false" ht="15" hidden="false" customHeight="false" outlineLevel="0" collapsed="false">
      <c r="A2" s="0" t="s">
        <v>24</v>
      </c>
      <c r="B2" s="0" t="n">
        <f aca="false">COUNTIF(Asset_Data!$C$2:$C$121,A2)</f>
        <v>24</v>
      </c>
      <c r="C2" s="2" t="n">
        <f aca="false">AVERAGEIF(Asset_Data!$C$2:$C$121,A2,Asset_Data!$F$2:$F$121)</f>
        <v>1587.33333333333</v>
      </c>
      <c r="D2" s="2" t="n">
        <f aca="false">AVERAGEIF(Asset_Data!$C$2:$C$121,A2,Asset_Data!$G$2:$G$121)</f>
        <v>2535.375</v>
      </c>
      <c r="E2" s="2" t="n">
        <f aca="false">AVERAGEIF(Asset_Data!$C$2:$C$121,A2,Asset_Data!$H$2:$H$121)</f>
        <v>242.125</v>
      </c>
      <c r="F2" s="2" t="n">
        <f aca="false">AVERAGEIF(Asset_Data!$C$2:$C$121,A2,Asset_Data!$I$2:$I$121)</f>
        <v>848.875</v>
      </c>
      <c r="G2" s="2" t="n">
        <f aca="false">SUMIF(Asset_Data!$C$2:$C$121,A2,Asset_Data!$L$2:$L$121)</f>
        <v>125129</v>
      </c>
      <c r="H2" s="2" t="n">
        <f aca="false">SUMIF(Asset_Data!$C$2:$C$121,A2,Asset_Data!$J$2:$J$121)</f>
        <v>303355</v>
      </c>
      <c r="I2" s="2" t="n">
        <f aca="false">H2-G2</f>
        <v>178226</v>
      </c>
      <c r="J2" s="3" t="n">
        <f aca="false">ROUND(I2/G2*100,2)</f>
        <v>142.43</v>
      </c>
    </row>
    <row r="3" customFormat="false" ht="15" hidden="false" customHeight="false" outlineLevel="0" collapsed="false">
      <c r="A3" s="0" t="s">
        <v>15</v>
      </c>
      <c r="B3" s="0" t="n">
        <f aca="false">COUNTIF(Asset_Data!$C$2:$C$121,A3)</f>
        <v>24</v>
      </c>
      <c r="C3" s="2" t="n">
        <f aca="false">AVERAGEIF(Asset_Data!$C$2:$C$121,A3,Asset_Data!$F$2:$F$121)</f>
        <v>1105.04166666667</v>
      </c>
      <c r="D3" s="2" t="n">
        <f aca="false">AVERAGEIF(Asset_Data!$C$2:$C$121,A3,Asset_Data!$G$2:$G$121)</f>
        <v>12596.1666666667</v>
      </c>
      <c r="E3" s="2" t="n">
        <f aca="false">AVERAGEIF(Asset_Data!$C$2:$C$121,A3,Asset_Data!$H$2:$H$121)</f>
        <v>1507.16666666667</v>
      </c>
      <c r="F3" s="2" t="n">
        <f aca="false">AVERAGEIF(Asset_Data!$C$2:$C$121,A3,Asset_Data!$I$2:$I$121)</f>
        <v>5337.08333333333</v>
      </c>
      <c r="G3" s="2" t="n">
        <f aca="false">SUMIF(Asset_Data!$C$2:$C$121,A3,Asset_Data!$L$2:$L$121)</f>
        <v>493091</v>
      </c>
      <c r="H3" s="2" t="n">
        <f aca="false">SUMIF(Asset_Data!$C$2:$C$121,A3,Asset_Data!$J$2:$J$121)</f>
        <v>900893</v>
      </c>
      <c r="I3" s="2" t="n">
        <f aca="false">H3-G3</f>
        <v>407802</v>
      </c>
      <c r="J3" s="3" t="n">
        <f aca="false">ROUND(I3/G3*100,2)</f>
        <v>82.7</v>
      </c>
    </row>
    <row r="4" customFormat="false" ht="15" hidden="false" customHeight="false" outlineLevel="0" collapsed="false">
      <c r="A4" s="0" t="s">
        <v>28</v>
      </c>
      <c r="B4" s="0" t="n">
        <f aca="false">COUNTIF(Asset_Data!$C$2:$C$121,A4)</f>
        <v>24</v>
      </c>
      <c r="C4" s="2" t="n">
        <f aca="false">AVERAGEIF(Asset_Data!$C$2:$C$121,A4,Asset_Data!$F$2:$F$121)</f>
        <v>777</v>
      </c>
      <c r="D4" s="2" t="n">
        <f aca="false">AVERAGEIF(Asset_Data!$C$2:$C$121,A4,Asset_Data!$G$2:$G$121)</f>
        <v>1471.91666666667</v>
      </c>
      <c r="E4" s="2" t="n">
        <f aca="false">AVERAGEIF(Asset_Data!$C$2:$C$121,A4,Asset_Data!$H$2:$H$121)</f>
        <v>203.041666666667</v>
      </c>
      <c r="F4" s="2" t="n">
        <f aca="false">AVERAGEIF(Asset_Data!$C$2:$C$121,A4,Asset_Data!$I$2:$I$121)</f>
        <v>587.375</v>
      </c>
      <c r="G4" s="2" t="n">
        <f aca="false">SUMIF(Asset_Data!$C$2:$C$121,A4,Asset_Data!$L$2:$L$121)</f>
        <v>72944</v>
      </c>
      <c r="H4" s="2" t="n">
        <f aca="false">SUMIF(Asset_Data!$C$2:$C$121,A4,Asset_Data!$J$2:$J$121)</f>
        <v>179367</v>
      </c>
      <c r="I4" s="2" t="n">
        <f aca="false">H4-G4</f>
        <v>106423</v>
      </c>
      <c r="J4" s="3" t="n">
        <f aca="false">ROUND(I4/G4*100,2)</f>
        <v>145.9</v>
      </c>
    </row>
    <row r="5" customFormat="false" ht="15" hidden="false" customHeight="false" outlineLevel="0" collapsed="false">
      <c r="A5" s="0" t="s">
        <v>21</v>
      </c>
      <c r="B5" s="0" t="n">
        <f aca="false">COUNTIF(Asset_Data!$C$2:$C$121,A5)</f>
        <v>24</v>
      </c>
      <c r="C5" s="2" t="n">
        <f aca="false">AVERAGEIF(Asset_Data!$C$2:$C$121,A5,Asset_Data!$F$2:$F$121)</f>
        <v>526.291666666667</v>
      </c>
      <c r="D5" s="2" t="n">
        <f aca="false">AVERAGEIF(Asset_Data!$C$2:$C$121,A5,Asset_Data!$G$2:$G$121)</f>
        <v>2008.45833333333</v>
      </c>
      <c r="E5" s="2" t="n">
        <f aca="false">AVERAGEIF(Asset_Data!$C$2:$C$121,A5,Asset_Data!$H$2:$H$121)</f>
        <v>464.291666666667</v>
      </c>
      <c r="F5" s="2" t="n">
        <f aca="false">AVERAGEIF(Asset_Data!$C$2:$C$121,A5,Asset_Data!$I$2:$I$121)</f>
        <v>1152.16666666667</v>
      </c>
      <c r="G5" s="2" t="n">
        <f aca="false">SUMIF(Asset_Data!$C$2:$C$121,A5,Asset_Data!$L$2:$L$121)</f>
        <v>99629</v>
      </c>
      <c r="H5" s="2" t="n">
        <f aca="false">SUMIF(Asset_Data!$C$2:$C$121,A5,Asset_Data!$J$2:$J$121)</f>
        <v>260723</v>
      </c>
      <c r="I5" s="2" t="n">
        <f aca="false">H5-G5</f>
        <v>161094</v>
      </c>
      <c r="J5" s="3" t="n">
        <f aca="false">ROUND(I5/G5*100,2)</f>
        <v>161.69</v>
      </c>
    </row>
    <row r="6" customFormat="false" ht="15" hidden="false" customHeight="false" outlineLevel="0" collapsed="false">
      <c r="A6" s="0" t="s">
        <v>41</v>
      </c>
      <c r="B6" s="0" t="n">
        <f aca="false">COUNTIF(Asset_Data!$C$2:$C$121,A6)</f>
        <v>24</v>
      </c>
      <c r="C6" s="2" t="n">
        <f aca="false">AVERAGEIF(Asset_Data!$C$2:$C$121,A6,Asset_Data!$F$2:$F$121)</f>
        <v>49.4166666666667</v>
      </c>
      <c r="D6" s="2" t="n">
        <f aca="false">AVERAGEIF(Asset_Data!$C$2:$C$121,A6,Asset_Data!$G$2:$G$121)</f>
        <v>1041.04166666667</v>
      </c>
      <c r="E6" s="2" t="n">
        <f aca="false">AVERAGEIF(Asset_Data!$C$2:$C$121,A6,Asset_Data!$H$2:$H$121)</f>
        <v>276.708333333333</v>
      </c>
      <c r="F6" s="2" t="n">
        <f aca="false">AVERAGEIF(Asset_Data!$C$2:$C$121,A6,Asset_Data!$I$2:$I$121)</f>
        <v>266.041666666667</v>
      </c>
      <c r="G6" s="2" t="n">
        <f aca="false">SUMIF(Asset_Data!$C$2:$C$121,A6,Asset_Data!$L$2:$L$121)</f>
        <v>39197</v>
      </c>
      <c r="H6" s="2" t="n">
        <f aca="false">SUMIF(Asset_Data!$C$2:$C$121,A6,Asset_Data!$J$2:$J$121)</f>
        <v>89334</v>
      </c>
      <c r="I6" s="2" t="n">
        <f aca="false">H6-G6</f>
        <v>50137</v>
      </c>
      <c r="J6" s="3" t="n">
        <f aca="false">ROUND(I6/G6*100,2)</f>
        <v>127.91</v>
      </c>
    </row>
    <row r="7" customFormat="false" ht="15" hidden="false" customHeight="false" outlineLevel="0" collapsed="false">
      <c r="A7" s="5" t="s">
        <v>252</v>
      </c>
      <c r="B7" s="5" t="n">
        <f aca="false">SUM(B2:B6)</f>
        <v>120</v>
      </c>
      <c r="C7" s="5"/>
      <c r="D7" s="5"/>
      <c r="E7" s="5"/>
      <c r="F7" s="5"/>
      <c r="G7" s="6" t="n">
        <f aca="false">SUM(G2:G6)</f>
        <v>829990</v>
      </c>
      <c r="H7" s="6" t="n">
        <f aca="false">SUM(H2:H6)</f>
        <v>1733672</v>
      </c>
      <c r="I7" s="6" t="n">
        <f aca="false">H7-G7</f>
        <v>903682</v>
      </c>
      <c r="J7" s="5" t="n">
        <f aca="false">ROUND(I7/G7*100,2)</f>
        <v>108.88</v>
      </c>
    </row>
    <row r="9" customFormat="false" ht="15" hidden="false" customHeight="false" outlineLevel="0" collapsed="false">
      <c r="A9" s="5" t="s">
        <v>253</v>
      </c>
      <c r="B9" s="0" t="str">
        <f aca="false">INDEX(A2:A6,MATCH(MAX(J2:J6),J2:J6,0))</f>
        <v>Short Reel</v>
      </c>
    </row>
    <row r="10" customFormat="false" ht="15" hidden="false" customHeight="false" outlineLevel="0" collapsed="false">
      <c r="A10" s="5" t="s">
        <v>254</v>
      </c>
      <c r="B10" s="0" t="str">
        <f aca="false">INDEX(A2:A6,MATCH(MAX(G2:G6),G2:G6,0))</f>
        <v>Cinematic Animation Video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2026-10-09T07:42:47Z</dcterms:created>
  <dc:creator>openpyxl</dc:creator>
  <dc:description/>
  <dc:language>en-US</dc:language>
  <cp:lastModifiedBy/>
  <dcterms:modified xsi:type="dcterms:W3CDTF">2026-10-09T07:42:47Z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
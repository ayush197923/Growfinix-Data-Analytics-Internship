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y_Listings_RAW" sheetId="1" state="visible" r:id="rId3"/>
    <sheet name="Historical_Sales" sheetId="2" state="visible" r:id="rId4"/>
    <sheet name="Cleaned_Lis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<sst xmlns="http://schemas.openxmlformats.org/spreadsheetml/2006/main" count="248" uniqueCount="80">
  <si>
    <t xml:space="preserve">Listing ID</t>
  </si>
  <si>
    <t xml:space="preserve">Property Address</t>
  </si>
  <si>
    <t xml:space="preserve">City</t>
  </si>
  <si>
    <t xml:space="preserve">State</t>
  </si>
  <si>
    <t xml:space="preserve">Zip Code</t>
  </si>
  <si>
    <t xml:space="preserve">Property Type</t>
  </si>
  <si>
    <t xml:space="preserve">List Price</t>
  </si>
  <si>
    <t xml:space="preserve">Bedrooms</t>
  </si>
  <si>
    <t xml:space="preserve">Agent Name</t>
  </si>
  <si>
    <t xml:space="preserve">456 Maple Ave</t>
  </si>
  <si>
    <t xml:space="preserve">Manresa</t>
  </si>
  <si>
    <t xml:space="preserve">California</t>
  </si>
  <si>
    <t xml:space="preserve">single family</t>
  </si>
  <si>
    <t xml:space="preserve">Mike  Chen</t>
  </si>
  <si>
    <t xml:space="preserve">606 Spruce St</t>
  </si>
  <si>
    <t xml:space="preserve">94030</t>
  </si>
  <si>
    <t xml:space="preserve">Single Family</t>
  </si>
  <si>
    <t xml:space="preserve">Mike Chen</t>
  </si>
  <si>
    <t xml:space="preserve">707 Willow Ave</t>
  </si>
  <si>
    <t xml:space="preserve">TOWNHOUSE</t>
  </si>
  <si>
    <t xml:space="preserve">priya patel</t>
  </si>
  <si>
    <t xml:space="preserve">101 Birch Ln</t>
  </si>
  <si>
    <t xml:space="preserve">Manresa </t>
  </si>
  <si>
    <t xml:space="preserve">3</t>
  </si>
  <si>
    <t xml:space="preserve">Priya Patel</t>
  </si>
  <si>
    <t xml:space="preserve">202 Cedar Ct</t>
  </si>
  <si>
    <t xml:space="preserve">manresa</t>
  </si>
  <si>
    <t xml:space="preserve">CA</t>
  </si>
  <si>
    <t xml:space="preserve">94344</t>
  </si>
  <si>
    <t xml:space="preserve">John Smith</t>
  </si>
  <si>
    <t xml:space="preserve">303 Elm Dr</t>
  </si>
  <si>
    <t xml:space="preserve">MANRESA</t>
  </si>
  <si>
    <t xml:space="preserve">94849</t>
  </si>
  <si>
    <t xml:space="preserve">$599,000</t>
  </si>
  <si>
    <t xml:space="preserve">94791</t>
  </si>
  <si>
    <t xml:space="preserve">Condo</t>
  </si>
  <si>
    <t xml:space="preserve">404 Walnut Way</t>
  </si>
  <si>
    <t xml:space="preserve">ca</t>
  </si>
  <si>
    <t xml:space="preserve">94373</t>
  </si>
  <si>
    <t xml:space="preserve">J. Smith</t>
  </si>
  <si>
    <t xml:space="preserve">94546</t>
  </si>
  <si>
    <t xml:space="preserve">94224</t>
  </si>
  <si>
    <t xml:space="preserve">123 Oak Street</t>
  </si>
  <si>
    <t xml:space="preserve">505 Chestnut Blvd</t>
  </si>
  <si>
    <t xml:space="preserve">94271</t>
  </si>
  <si>
    <t xml:space="preserve">94811</t>
  </si>
  <si>
    <t xml:space="preserve">480,000</t>
  </si>
  <si>
    <t xml:space="preserve">94541</t>
  </si>
  <si>
    <t xml:space="preserve">94300</t>
  </si>
  <si>
    <t xml:space="preserve">condo </t>
  </si>
  <si>
    <t xml:space="preserve">94891</t>
  </si>
  <si>
    <t xml:space="preserve">94552</t>
  </si>
  <si>
    <t xml:space="preserve">Townhouse</t>
  </si>
  <si>
    <t xml:space="preserve">94899</t>
  </si>
  <si>
    <t xml:space="preserve">94835</t>
  </si>
  <si>
    <t xml:space="preserve">94621</t>
  </si>
  <si>
    <t xml:space="preserve">94665</t>
  </si>
  <si>
    <t xml:space="preserve">Last Sale Date</t>
  </si>
  <si>
    <t xml:space="preserve">Last Sale Price</t>
  </si>
  <si>
    <t xml:space="preserve">Days on Market</t>
  </si>
  <si>
    <t xml:space="preserve">2024-04-09</t>
  </si>
  <si>
    <t xml:space="preserve">2024-12-19</t>
  </si>
  <si>
    <t xml:space="preserve">2024-07-07</t>
  </si>
  <si>
    <t xml:space="preserve">2024-06-14</t>
  </si>
  <si>
    <t xml:space="preserve">2024-11-21</t>
  </si>
  <si>
    <t xml:space="preserve">2024-06-26</t>
  </si>
  <si>
    <t xml:space="preserve">2024-09-15</t>
  </si>
  <si>
    <t xml:space="preserve">2024-08-08</t>
  </si>
  <si>
    <t xml:space="preserve">2024-09-04</t>
  </si>
  <si>
    <t xml:space="preserve">2024-02-25</t>
  </si>
  <si>
    <t xml:space="preserve">2024-08-07</t>
  </si>
  <si>
    <t xml:space="preserve">2024-01-13</t>
  </si>
  <si>
    <t xml:space="preserve">2024-05-14</t>
  </si>
  <si>
    <t xml:space="preserve">2024-03-07</t>
  </si>
  <si>
    <t xml:space="preserve">2024-09-02</t>
  </si>
  <si>
    <t xml:space="preserve">2024-08-17</t>
  </si>
  <si>
    <t xml:space="preserve">2024-09-03</t>
  </si>
  <si>
    <t xml:space="preserve">2024-11-28</t>
  </si>
  <si>
    <t xml:space="preserve">2024-10-08</t>
  </si>
  <si>
    <t xml:space="preserve">2024-11-19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</si>
</sst>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1001</v>
      </c>
      <c r="B2" s="0" t="s">
        <v>9</v>
      </c>
      <c r="C2" s="0" t="s">
        <v>10</v>
      </c>
      <c r="D2" s="0" t="s">
        <v>11</v>
      </c>
      <c r="F2" s="0" t="s">
        <v>12</v>
      </c>
      <c r="G2" s="0" t="n">
        <v>520000</v>
      </c>
      <c r="H2" s="0" t="n">
        <v>2</v>
      </c>
      <c r="I2" s="0" t="s">
        <v>13</v>
      </c>
    </row>
    <row r="3" customFormat="false" ht="15" hidden="false" customHeight="false" outlineLevel="0" collapsed="false">
      <c r="A3" s="0" t="n">
        <v>1002</v>
      </c>
      <c r="B3" s="0" t="s">
        <v>14</v>
      </c>
      <c r="C3" s="0" t="s">
        <v>10</v>
      </c>
      <c r="D3" s="0" t="s">
        <v>11</v>
      </c>
      <c r="E3" s="0" t="s">
        <v>15</v>
      </c>
      <c r="F3" s="0" t="s">
        <v>16</v>
      </c>
      <c r="G3" s="0" t="n">
        <v>520000</v>
      </c>
      <c r="H3" s="0" t="n">
        <v>3</v>
      </c>
      <c r="I3" s="0" t="s">
        <v>17</v>
      </c>
    </row>
    <row r="4" customFormat="false" ht="15" hidden="false" customHeight="false" outlineLevel="0" collapsed="false">
      <c r="A4" s="0" t="n">
        <v>1003</v>
      </c>
      <c r="B4" s="0" t="s">
        <v>18</v>
      </c>
      <c r="C4" s="0" t="s">
        <v>10</v>
      </c>
      <c r="D4" s="0" t="s">
        <v>11</v>
      </c>
      <c r="F4" s="0" t="s">
        <v>19</v>
      </c>
      <c r="G4" s="0" t="n">
        <v>710000</v>
      </c>
      <c r="I4" s="0" t="s">
        <v>20</v>
      </c>
    </row>
    <row r="5" customFormat="false" ht="15" hidden="false" customHeight="false" outlineLevel="0" collapsed="false">
      <c r="A5" s="0" t="n">
        <v>1004</v>
      </c>
      <c r="B5" s="0" t="s">
        <v>21</v>
      </c>
      <c r="C5" s="0" t="s">
        <v>22</v>
      </c>
      <c r="D5" s="0" t="s">
        <v>11</v>
      </c>
      <c r="F5" s="0" t="s">
        <v>16</v>
      </c>
      <c r="G5" s="0" t="n">
        <v>520000</v>
      </c>
      <c r="H5" s="0" t="s">
        <v>23</v>
      </c>
      <c r="I5" s="0" t="s">
        <v>24</v>
      </c>
    </row>
    <row r="6" customFormat="false" ht="15" hidden="false" customHeight="false" outlineLevel="0" collapsed="false">
      <c r="A6" s="0" t="n">
        <v>1005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16</v>
      </c>
      <c r="G6" s="0" t="n">
        <v>450000</v>
      </c>
      <c r="H6" s="0" t="s">
        <v>23</v>
      </c>
      <c r="I6" s="0" t="s">
        <v>29</v>
      </c>
    </row>
    <row r="7" customFormat="false" ht="15" hidden="false" customHeight="false" outlineLevel="0" collapsed="false">
      <c r="A7" s="0" t="n">
        <v>1006</v>
      </c>
      <c r="B7" s="0" t="s">
        <v>30</v>
      </c>
      <c r="C7" s="0" t="s">
        <v>31</v>
      </c>
      <c r="D7" s="0" t="s">
        <v>11</v>
      </c>
      <c r="F7" s="0" t="s">
        <v>16</v>
      </c>
      <c r="G7" s="0" t="n">
        <v>710000</v>
      </c>
      <c r="H7" s="0" t="s">
        <v>23</v>
      </c>
      <c r="I7" s="0" t="s">
        <v>17</v>
      </c>
    </row>
    <row r="8" customFormat="false" ht="15" hidden="false" customHeight="false" outlineLevel="0" collapsed="false">
      <c r="A8" s="0" t="n">
        <v>1007</v>
      </c>
      <c r="B8" s="0" t="s">
        <v>9</v>
      </c>
      <c r="C8" s="0" t="s">
        <v>22</v>
      </c>
      <c r="D8" s="0" t="s">
        <v>27</v>
      </c>
      <c r="E8" s="0" t="s">
        <v>32</v>
      </c>
      <c r="F8" s="0" t="s">
        <v>19</v>
      </c>
      <c r="G8" s="0" t="s">
        <v>33</v>
      </c>
      <c r="H8" s="0" t="n">
        <v>4</v>
      </c>
      <c r="I8" s="0" t="s">
        <v>17</v>
      </c>
    </row>
    <row r="9" customFormat="false" ht="15" hidden="false" customHeight="false" outlineLevel="0" collapsed="false">
      <c r="A9" s="0" t="n">
        <v>1008</v>
      </c>
      <c r="B9" s="0" t="s">
        <v>21</v>
      </c>
      <c r="C9" s="0" t="s">
        <v>10</v>
      </c>
      <c r="D9" s="0" t="s">
        <v>27</v>
      </c>
      <c r="E9" s="0" t="s">
        <v>34</v>
      </c>
      <c r="F9" s="0" t="s">
        <v>35</v>
      </c>
      <c r="G9" s="0" t="n">
        <v>450000</v>
      </c>
      <c r="H9" s="0" t="n">
        <v>3</v>
      </c>
      <c r="I9" s="0" t="s">
        <v>29</v>
      </c>
    </row>
    <row r="10" customFormat="false" ht="15" hidden="false" customHeight="false" outlineLevel="0" collapsed="false">
      <c r="A10" s="0" t="n">
        <v>1009</v>
      </c>
      <c r="B10" s="0" t="s">
        <v>36</v>
      </c>
      <c r="C10" s="0" t="s">
        <v>31</v>
      </c>
      <c r="D10" s="0" t="s">
        <v>37</v>
      </c>
      <c r="E10" s="0" t="s">
        <v>38</v>
      </c>
      <c r="F10" s="0" t="s">
        <v>12</v>
      </c>
      <c r="G10" s="0" t="n">
        <v>675000</v>
      </c>
      <c r="H10" s="0" t="n">
        <v>4</v>
      </c>
      <c r="I10" s="0" t="s">
        <v>39</v>
      </c>
    </row>
    <row r="11" customFormat="false" ht="15" hidden="false" customHeight="false" outlineLevel="0" collapsed="false">
      <c r="A11" s="0" t="n">
        <v>1010</v>
      </c>
      <c r="B11" s="0" t="s">
        <v>25</v>
      </c>
      <c r="C11" s="0" t="s">
        <v>10</v>
      </c>
      <c r="D11" s="0" t="s">
        <v>11</v>
      </c>
      <c r="E11" s="0" t="s">
        <v>40</v>
      </c>
      <c r="F11" s="0" t="s">
        <v>19</v>
      </c>
      <c r="G11" s="0" t="n">
        <v>520000</v>
      </c>
      <c r="H11" s="0" t="n">
        <v>3</v>
      </c>
      <c r="I11" s="0" t="s">
        <v>20</v>
      </c>
    </row>
    <row r="12" customFormat="false" ht="15" hidden="false" customHeight="false" outlineLevel="0" collapsed="false">
      <c r="A12" s="0" t="n">
        <v>1011</v>
      </c>
      <c r="B12" s="0" t="s">
        <v>36</v>
      </c>
      <c r="C12" s="0" t="s">
        <v>31</v>
      </c>
      <c r="D12" s="0" t="s">
        <v>11</v>
      </c>
      <c r="E12" s="0" t="s">
        <v>41</v>
      </c>
      <c r="F12" s="0" t="s">
        <v>19</v>
      </c>
      <c r="G12" s="0" t="n">
        <v>675000</v>
      </c>
      <c r="H12" s="0" t="n">
        <v>2</v>
      </c>
      <c r="I12" s="0" t="s">
        <v>39</v>
      </c>
    </row>
    <row r="13" customFormat="false" ht="15" hidden="false" customHeight="false" outlineLevel="0" collapsed="false">
      <c r="A13" s="0" t="n">
        <v>1012</v>
      </c>
      <c r="B13" s="0" t="s">
        <v>42</v>
      </c>
      <c r="C13" s="0" t="s">
        <v>31</v>
      </c>
      <c r="D13" s="0" t="s">
        <v>37</v>
      </c>
      <c r="F13" s="0" t="s">
        <v>12</v>
      </c>
      <c r="G13" s="0" t="s">
        <v>33</v>
      </c>
      <c r="H13" s="0" t="n">
        <v>4</v>
      </c>
      <c r="I13" s="0" t="s">
        <v>39</v>
      </c>
    </row>
    <row r="14" customFormat="false" ht="15" hidden="false" customHeight="false" outlineLevel="0" collapsed="false">
      <c r="A14" s="0" t="n">
        <v>1013</v>
      </c>
      <c r="B14" s="0" t="s">
        <v>43</v>
      </c>
      <c r="C14" s="0" t="s">
        <v>22</v>
      </c>
      <c r="D14" s="0" t="s">
        <v>11</v>
      </c>
      <c r="E14" s="0" t="s">
        <v>44</v>
      </c>
      <c r="F14" s="0" t="s">
        <v>12</v>
      </c>
      <c r="G14" s="0" t="n">
        <v>520000</v>
      </c>
      <c r="I14" s="0" t="s">
        <v>17</v>
      </c>
    </row>
    <row r="15" customFormat="false" ht="15" hidden="false" customHeight="false" outlineLevel="0" collapsed="false">
      <c r="A15" s="0" t="n">
        <v>1014</v>
      </c>
      <c r="B15" s="0" t="s">
        <v>25</v>
      </c>
      <c r="C15" s="0" t="s">
        <v>22</v>
      </c>
      <c r="D15" s="0" t="s">
        <v>11</v>
      </c>
      <c r="E15" s="0" t="s">
        <v>41</v>
      </c>
      <c r="F15" s="0" t="s">
        <v>12</v>
      </c>
      <c r="G15" s="0" t="s">
        <v>33</v>
      </c>
      <c r="H15" s="0" t="s">
        <v>23</v>
      </c>
      <c r="I15" s="0" t="s">
        <v>29</v>
      </c>
    </row>
    <row r="16" customFormat="false" ht="15" hidden="false" customHeight="false" outlineLevel="0" collapsed="false">
      <c r="A16" s="0" t="n">
        <v>1015</v>
      </c>
      <c r="B16" s="0" t="s">
        <v>42</v>
      </c>
      <c r="C16" s="0" t="s">
        <v>10</v>
      </c>
      <c r="D16" s="0" t="s">
        <v>27</v>
      </c>
      <c r="E16" s="0" t="s">
        <v>45</v>
      </c>
      <c r="F16" s="0" t="s">
        <v>19</v>
      </c>
      <c r="G16" s="0" t="s">
        <v>46</v>
      </c>
      <c r="I16" s="0" t="s">
        <v>29</v>
      </c>
    </row>
    <row r="17" customFormat="false" ht="15" hidden="false" customHeight="false" outlineLevel="0" collapsed="false">
      <c r="A17" s="0" t="n">
        <v>1016</v>
      </c>
      <c r="B17" s="0" t="s">
        <v>36</v>
      </c>
      <c r="C17" s="0" t="s">
        <v>22</v>
      </c>
      <c r="D17" s="0" t="s">
        <v>11</v>
      </c>
      <c r="E17" s="0" t="s">
        <v>47</v>
      </c>
      <c r="F17" s="0" t="s">
        <v>35</v>
      </c>
      <c r="G17" s="0" t="s">
        <v>33</v>
      </c>
      <c r="H17" s="0" t="n">
        <v>2</v>
      </c>
      <c r="I17" s="0" t="s">
        <v>13</v>
      </c>
    </row>
    <row r="18" customFormat="false" ht="15" hidden="false" customHeight="false" outlineLevel="0" collapsed="false">
      <c r="A18" s="0" t="n">
        <v>1017</v>
      </c>
      <c r="B18" s="0" t="s">
        <v>9</v>
      </c>
      <c r="C18" s="0" t="s">
        <v>31</v>
      </c>
      <c r="D18" s="0" t="s">
        <v>11</v>
      </c>
      <c r="E18" s="0" t="s">
        <v>48</v>
      </c>
      <c r="F18" s="0" t="s">
        <v>49</v>
      </c>
      <c r="G18" s="0" t="n">
        <v>520000</v>
      </c>
      <c r="H18" s="0" t="s">
        <v>23</v>
      </c>
      <c r="I18" s="0" t="s">
        <v>29</v>
      </c>
    </row>
    <row r="19" customFormat="false" ht="15" hidden="false" customHeight="false" outlineLevel="0" collapsed="false">
      <c r="A19" s="0" t="n">
        <v>1018</v>
      </c>
      <c r="B19" s="0" t="s">
        <v>25</v>
      </c>
      <c r="C19" s="0" t="s">
        <v>26</v>
      </c>
      <c r="D19" s="0" t="s">
        <v>11</v>
      </c>
      <c r="E19" s="0" t="s">
        <v>50</v>
      </c>
      <c r="F19" s="0" t="s">
        <v>19</v>
      </c>
      <c r="G19" s="0" t="n">
        <v>675000</v>
      </c>
      <c r="I19" s="0" t="s">
        <v>17</v>
      </c>
    </row>
    <row r="20" customFormat="false" ht="15" hidden="false" customHeight="false" outlineLevel="0" collapsed="false">
      <c r="A20" s="0" t="n">
        <v>1019</v>
      </c>
      <c r="B20" s="0" t="s">
        <v>21</v>
      </c>
      <c r="C20" s="0" t="s">
        <v>26</v>
      </c>
      <c r="D20" s="0" t="s">
        <v>37</v>
      </c>
      <c r="E20" s="0" t="s">
        <v>51</v>
      </c>
      <c r="F20" s="0" t="s">
        <v>52</v>
      </c>
      <c r="G20" s="0" t="n">
        <v>450000</v>
      </c>
      <c r="I20" s="0" t="s">
        <v>24</v>
      </c>
    </row>
    <row r="21" customFormat="false" ht="15" hidden="false" customHeight="false" outlineLevel="0" collapsed="false">
      <c r="A21" s="0" t="n">
        <v>1020</v>
      </c>
      <c r="B21" s="0" t="s">
        <v>43</v>
      </c>
      <c r="C21" s="0" t="s">
        <v>10</v>
      </c>
      <c r="D21" s="0" t="s">
        <v>27</v>
      </c>
      <c r="E21" s="0" t="s">
        <v>53</v>
      </c>
      <c r="F21" s="0" t="s">
        <v>35</v>
      </c>
      <c r="G21" s="0" t="n">
        <v>520000</v>
      </c>
      <c r="H21" s="0" t="n">
        <v>2</v>
      </c>
      <c r="I21" s="0" t="s">
        <v>39</v>
      </c>
    </row>
    <row r="22" customFormat="false" ht="15" hidden="false" customHeight="false" outlineLevel="0" collapsed="false">
      <c r="A22" s="0" t="n">
        <v>1021</v>
      </c>
      <c r="B22" s="0" t="s">
        <v>18</v>
      </c>
      <c r="C22" s="0" t="s">
        <v>10</v>
      </c>
      <c r="D22" s="0" t="s">
        <v>27</v>
      </c>
      <c r="E22" s="0" t="s">
        <v>54</v>
      </c>
      <c r="F22" s="0" t="s">
        <v>16</v>
      </c>
      <c r="G22" s="0" t="s">
        <v>33</v>
      </c>
      <c r="H22" s="0" t="n">
        <v>3</v>
      </c>
      <c r="I22" s="0" t="s">
        <v>39</v>
      </c>
    </row>
    <row r="23" customFormat="false" ht="15" hidden="false" customHeight="false" outlineLevel="0" collapsed="false">
      <c r="A23" s="0" t="n">
        <v>1022</v>
      </c>
      <c r="B23" s="0" t="s">
        <v>43</v>
      </c>
      <c r="C23" s="0" t="s">
        <v>26</v>
      </c>
      <c r="D23" s="0" t="s">
        <v>37</v>
      </c>
      <c r="E23" s="0" t="s">
        <v>55</v>
      </c>
      <c r="F23" s="0" t="s">
        <v>49</v>
      </c>
      <c r="G23" s="0" t="n">
        <v>520000</v>
      </c>
      <c r="I23" s="0" t="s">
        <v>13</v>
      </c>
    </row>
    <row r="24" customFormat="false" ht="15" hidden="false" customHeight="false" outlineLevel="0" collapsed="false">
      <c r="A24" s="0" t="n">
        <v>1023</v>
      </c>
      <c r="B24" s="0" t="s">
        <v>21</v>
      </c>
      <c r="C24" s="0" t="s">
        <v>31</v>
      </c>
      <c r="D24" s="0" t="s">
        <v>37</v>
      </c>
      <c r="E24" s="0" t="s">
        <v>56</v>
      </c>
      <c r="F24" s="0" t="s">
        <v>35</v>
      </c>
      <c r="G24" s="0" t="s">
        <v>46</v>
      </c>
      <c r="I24" s="0" t="s">
        <v>20</v>
      </c>
    </row>
    <row r="25" customFormat="false" ht="15" hidden="false" customHeight="false" outlineLevel="0" collapsed="false">
      <c r="A25" s="0" t="n">
        <v>1024</v>
      </c>
      <c r="B25" s="0" t="s">
        <v>9</v>
      </c>
      <c r="C25" s="0" t="s">
        <v>26</v>
      </c>
      <c r="D25" s="0" t="s">
        <v>27</v>
      </c>
      <c r="F25" s="0" t="s">
        <v>16</v>
      </c>
      <c r="G25" s="0" t="s">
        <v>33</v>
      </c>
      <c r="I25" s="0" t="s">
        <v>39</v>
      </c>
    </row>
    <row r="26" customFormat="false" ht="15" hidden="false" customHeight="false" outlineLevel="0" collapsed="false">
      <c r="A26" s="0" t="n">
        <v>1025</v>
      </c>
      <c r="B26" s="0" t="s">
        <v>18</v>
      </c>
      <c r="C26" s="0" t="s">
        <v>26</v>
      </c>
      <c r="D26" s="0" t="s">
        <v>27</v>
      </c>
      <c r="F26" s="0" t="s">
        <v>19</v>
      </c>
      <c r="G26" s="0" t="n">
        <v>450000</v>
      </c>
      <c r="H26" s="0" t="n">
        <v>3</v>
      </c>
      <c r="I26" s="0" t="s">
        <v>29</v>
      </c>
    </row>
    <row r="27" customFormat="false" ht="15" hidden="false" customHeight="false" outlineLevel="0" collapsed="false">
      <c r="A27" s="0" t="n">
        <v>1004</v>
      </c>
      <c r="B27" s="0" t="s">
        <v>21</v>
      </c>
      <c r="C27" s="0" t="s">
        <v>22</v>
      </c>
      <c r="D27" s="0" t="s">
        <v>11</v>
      </c>
      <c r="F27" s="0" t="s">
        <v>16</v>
      </c>
      <c r="G27" s="0" t="n">
        <v>520000</v>
      </c>
      <c r="H27" s="0" t="s">
        <v>23</v>
      </c>
      <c r="I27" s="0" t="s">
        <v>24</v>
      </c>
    </row>
    <row r="28" customFormat="false" ht="15" hidden="false" customHeight="false" outlineLevel="0" collapsed="false">
      <c r="A28" s="0" t="n">
        <v>1008</v>
      </c>
      <c r="B28" s="0" t="s">
        <v>21</v>
      </c>
      <c r="C28" s="0" t="s">
        <v>10</v>
      </c>
      <c r="D28" s="0" t="s">
        <v>27</v>
      </c>
      <c r="E28" s="0" t="s">
        <v>34</v>
      </c>
      <c r="F28" s="0" t="s">
        <v>35</v>
      </c>
      <c r="G28" s="0" t="n">
        <v>450000</v>
      </c>
      <c r="H28" s="0" t="n">
        <v>3</v>
      </c>
      <c r="I28" s="0" t="s">
        <v>29</v>
      </c>
    </row>
    <row r="29" customFormat="false" ht="15" hidden="false" customHeight="false" outlineLevel="0" collapsed="false">
      <c r="A29" s="0" t="n">
        <v>1013</v>
      </c>
      <c r="B29" s="0" t="s">
        <v>43</v>
      </c>
      <c r="C29" s="0" t="s">
        <v>22</v>
      </c>
      <c r="D29" s="0" t="s">
        <v>11</v>
      </c>
      <c r="E29" s="0" t="s">
        <v>44</v>
      </c>
      <c r="F29" s="0" t="s">
        <v>12</v>
      </c>
      <c r="G29" s="0" t="n">
        <v>520000</v>
      </c>
      <c r="I29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57</v>
      </c>
      <c r="C1" s="2" t="s">
        <v>58</v>
      </c>
      <c r="D1" s="2" t="s">
        <v>59</v>
      </c>
    </row>
    <row r="2" customFormat="false" ht="15" hidden="false" customHeight="false" outlineLevel="0" collapsed="false">
      <c r="A2" s="0" t="n">
        <v>1003</v>
      </c>
      <c r="B2" s="0" t="s">
        <v>60</v>
      </c>
      <c r="C2" s="0" t="n">
        <v>654496</v>
      </c>
      <c r="D2" s="0" t="n">
        <v>37</v>
      </c>
    </row>
    <row r="3" customFormat="false" ht="15" hidden="false" customHeight="false" outlineLevel="0" collapsed="false">
      <c r="A3" s="0" t="n">
        <v>1004</v>
      </c>
      <c r="B3" s="0" t="s">
        <v>61</v>
      </c>
      <c r="C3" s="0" t="n">
        <v>647815</v>
      </c>
      <c r="D3" s="0" t="n">
        <v>41</v>
      </c>
    </row>
    <row r="4" customFormat="false" ht="15" hidden="false" customHeight="false" outlineLevel="0" collapsed="false">
      <c r="A4" s="0" t="n">
        <v>1005</v>
      </c>
      <c r="B4" s="0" t="s">
        <v>62</v>
      </c>
      <c r="C4" s="0" t="n">
        <v>449453</v>
      </c>
      <c r="D4" s="0" t="n">
        <v>22</v>
      </c>
    </row>
    <row r="5" customFormat="false" ht="15" hidden="false" customHeight="false" outlineLevel="0" collapsed="false">
      <c r="A5" s="0" t="n">
        <v>1006</v>
      </c>
      <c r="B5" s="0" t="s">
        <v>63</v>
      </c>
      <c r="C5" s="0" t="n">
        <v>615535</v>
      </c>
      <c r="D5" s="0" t="n">
        <v>69</v>
      </c>
    </row>
    <row r="6" customFormat="false" ht="15" hidden="false" customHeight="false" outlineLevel="0" collapsed="false">
      <c r="A6" s="0" t="n">
        <v>1008</v>
      </c>
      <c r="B6" s="0" t="s">
        <v>64</v>
      </c>
      <c r="C6" s="0" t="n">
        <v>451599</v>
      </c>
      <c r="D6" s="0" t="n">
        <v>17</v>
      </c>
    </row>
    <row r="7" customFormat="false" ht="15" hidden="false" customHeight="false" outlineLevel="0" collapsed="false">
      <c r="A7" s="0" t="n">
        <v>1009</v>
      </c>
      <c r="B7" s="0" t="s">
        <v>65</v>
      </c>
      <c r="C7" s="0" t="n">
        <v>457288</v>
      </c>
      <c r="D7" s="0" t="n">
        <v>41</v>
      </c>
    </row>
    <row r="8" customFormat="false" ht="15" hidden="false" customHeight="false" outlineLevel="0" collapsed="false">
      <c r="A8" s="0" t="n">
        <v>1010</v>
      </c>
      <c r="B8" s="0" t="s">
        <v>66</v>
      </c>
      <c r="C8" s="0" t="n">
        <v>473495</v>
      </c>
      <c r="D8" s="0" t="n">
        <v>64</v>
      </c>
    </row>
    <row r="9" customFormat="false" ht="15" hidden="false" customHeight="false" outlineLevel="0" collapsed="false">
      <c r="A9" s="0" t="n">
        <v>1011</v>
      </c>
      <c r="B9" s="0" t="s">
        <v>67</v>
      </c>
      <c r="C9" s="0" t="n">
        <v>439523</v>
      </c>
      <c r="D9" s="0" t="n">
        <v>66</v>
      </c>
    </row>
    <row r="10" customFormat="false" ht="15" hidden="false" customHeight="false" outlineLevel="0" collapsed="false">
      <c r="A10" s="0" t="n">
        <v>1012</v>
      </c>
      <c r="B10" s="0" t="s">
        <v>68</v>
      </c>
      <c r="C10" s="0" t="n">
        <v>426522</v>
      </c>
      <c r="D10" s="0" t="n">
        <v>93</v>
      </c>
    </row>
    <row r="11" customFormat="false" ht="15" hidden="false" customHeight="false" outlineLevel="0" collapsed="false">
      <c r="A11" s="0" t="n">
        <v>1014</v>
      </c>
      <c r="B11" s="0" t="s">
        <v>69</v>
      </c>
      <c r="C11" s="0" t="n">
        <v>523930</v>
      </c>
      <c r="D11" s="0" t="n">
        <v>31</v>
      </c>
    </row>
    <row r="12" customFormat="false" ht="15" hidden="false" customHeight="false" outlineLevel="0" collapsed="false">
      <c r="A12" s="0" t="n">
        <v>1015</v>
      </c>
      <c r="B12" s="0" t="s">
        <v>70</v>
      </c>
      <c r="C12" s="0" t="n">
        <v>610260</v>
      </c>
      <c r="D12" s="0" t="n">
        <v>17</v>
      </c>
    </row>
    <row r="13" customFormat="false" ht="15" hidden="false" customHeight="false" outlineLevel="0" collapsed="false">
      <c r="A13" s="0" t="n">
        <v>1016</v>
      </c>
      <c r="B13" s="0" t="s">
        <v>71</v>
      </c>
      <c r="C13" s="0" t="n">
        <v>539042</v>
      </c>
      <c r="D13" s="0" t="n">
        <v>110</v>
      </c>
    </row>
    <row r="14" customFormat="false" ht="15" hidden="false" customHeight="false" outlineLevel="0" collapsed="false">
      <c r="A14" s="0" t="n">
        <v>1017</v>
      </c>
      <c r="B14" s="0" t="s">
        <v>72</v>
      </c>
      <c r="C14" s="0" t="n">
        <v>691382</v>
      </c>
      <c r="D14" s="0" t="n">
        <v>94</v>
      </c>
    </row>
    <row r="15" customFormat="false" ht="15" hidden="false" customHeight="false" outlineLevel="0" collapsed="false">
      <c r="A15" s="0" t="n">
        <v>1018</v>
      </c>
      <c r="B15" s="0" t="s">
        <v>73</v>
      </c>
      <c r="C15" s="0" t="n">
        <v>555560</v>
      </c>
      <c r="D15" s="0" t="n">
        <v>37</v>
      </c>
    </row>
    <row r="16" customFormat="false" ht="15" hidden="false" customHeight="false" outlineLevel="0" collapsed="false">
      <c r="A16" s="0" t="n">
        <v>1020</v>
      </c>
      <c r="B16" s="0" t="s">
        <v>74</v>
      </c>
      <c r="C16" s="0" t="n">
        <v>564419</v>
      </c>
      <c r="D16" s="0" t="n">
        <v>17</v>
      </c>
    </row>
    <row r="17" customFormat="false" ht="15" hidden="false" customHeight="false" outlineLevel="0" collapsed="false">
      <c r="A17" s="0" t="n">
        <v>1021</v>
      </c>
      <c r="B17" s="0" t="s">
        <v>75</v>
      </c>
      <c r="C17" s="0" t="n">
        <v>678463</v>
      </c>
      <c r="D17" s="0" t="n">
        <v>30</v>
      </c>
    </row>
    <row r="18" customFormat="false" ht="15" hidden="false" customHeight="false" outlineLevel="0" collapsed="false">
      <c r="A18" s="0" t="n">
        <v>1022</v>
      </c>
      <c r="B18" s="0" t="s">
        <v>76</v>
      </c>
      <c r="C18" s="0" t="n">
        <v>497425</v>
      </c>
      <c r="D18" s="0" t="n">
        <v>18</v>
      </c>
    </row>
    <row r="19" customFormat="false" ht="15" hidden="false" customHeight="false" outlineLevel="0" collapsed="false">
      <c r="A19" s="0" t="n">
        <v>1023</v>
      </c>
      <c r="B19" s="0" t="s">
        <v>77</v>
      </c>
      <c r="C19" s="0" t="n">
        <v>523314</v>
      </c>
      <c r="D19" s="0" t="n">
        <v>61</v>
      </c>
    </row>
    <row r="20" customFormat="false" ht="15" hidden="false" customHeight="false" outlineLevel="0" collapsed="false">
      <c r="A20" s="0" t="n">
        <v>1024</v>
      </c>
      <c r="B20" s="0" t="s">
        <v>78</v>
      </c>
      <c r="C20" s="0" t="n">
        <v>420836</v>
      </c>
      <c r="D20" s="0" t="n">
        <v>89</v>
      </c>
    </row>
    <row r="21" customFormat="false" ht="15" hidden="false" customHeight="false" outlineLevel="0" collapsed="false">
      <c r="A21" s="0" t="n">
        <v>1025</v>
      </c>
      <c r="B21" s="0" t="s">
        <v>79</v>
      </c>
      <c r="C21" s="0" t="n">
        <v>696341</v>
      </c>
      <c r="D21" s="0" t="n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1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58</v>
      </c>
      <c r="K1" s="1" t="s">
        <v>59</v>
      </c>
    </row>
    <row r="2" customFormat="false" ht="15" hidden="false" customHeight="false" outlineLevel="0" collapsed="false">
      <c r="A2" s="0" t="n">
        <v>1001</v>
      </c>
      <c r="B2" s="0" t="s">
        <v>9</v>
      </c>
      <c r="C2" s="0" t="str">
        <f aca="false">PROPER(TRIM("Manresa"))</f>
        <v>Manresa</v>
      </c>
      <c r="D2" s="0" t="str">
        <f aca="false">PROPER(TRIM("California"))</f>
        <v>California</v>
      </c>
      <c r="E2" s="0" t="str">
        <f aca="false">IF("Unknown"="","Unknown","Unknown")</f>
        <v>Unknown</v>
      </c>
      <c r="F2" s="0" t="str">
        <f aca="false">PROPER(TRIM("single family"))</f>
        <v>Single Family</v>
      </c>
      <c r="G2" s="3" t="n">
        <v>520000</v>
      </c>
      <c r="H2" s="0" t="n">
        <v>2</v>
      </c>
      <c r="I2" s="0" t="str">
        <f aca="false">PROPER(TRIM("Mike  Chen"))</f>
        <v>Mike Chen</v>
      </c>
      <c r="J2" s="0" t="str">
        <f aca="false">IFERROR(INDEX(Historical_Sales!$C:$C,MATCH(A2,Historical_Sales!$A:$A,0)),"No Sale History")</f>
        <v>No Sale History</v>
      </c>
      <c r="K2" s="0" t="str">
        <f aca="false">IFERROR(INDEX(Historical_Sales!$D:$D,MATCH(A2,Historical_Sales!$A:$A,0)),"No Sale History")</f>
        <v>No Sale History</v>
      </c>
    </row>
    <row r="3" customFormat="false" ht="15" hidden="false" customHeight="false" outlineLevel="0" collapsed="false">
      <c r="A3" s="0" t="n">
        <v>1002</v>
      </c>
      <c r="B3" s="0" t="s">
        <v>14</v>
      </c>
      <c r="C3" s="0" t="str">
        <f aca="false">PROPER(TRIM("Manresa"))</f>
        <v>Manresa</v>
      </c>
      <c r="D3" s="0" t="str">
        <f aca="false">PROPER(TRIM("California"))</f>
        <v>California</v>
      </c>
      <c r="E3" s="0" t="str">
        <f aca="false">IF("94030"="","Unknown","94030")</f>
        <v>94030</v>
      </c>
      <c r="F3" s="0" t="str">
        <f aca="false">PROPER(TRIM("Single Family"))</f>
        <v>Single Family</v>
      </c>
      <c r="G3" s="3" t="n">
        <v>520000</v>
      </c>
      <c r="H3" s="0" t="n">
        <v>3</v>
      </c>
      <c r="I3" s="0" t="str">
        <f aca="false">PROPER(TRIM("Mike Chen"))</f>
        <v>Mike Chen</v>
      </c>
      <c r="J3" s="0" t="str">
        <f aca="false">IFERROR(INDEX(Historical_Sales!$C:$C,MATCH(A3,Historical_Sales!$A:$A,0)),"No Sale History")</f>
        <v>No Sale History</v>
      </c>
      <c r="K3" s="0" t="str">
        <f aca="false">IFERROR(INDEX(Historical_Sales!$D:$D,MATCH(A3,Historical_Sales!$A:$A,0)),"No Sale History")</f>
        <v>No Sale History</v>
      </c>
    </row>
    <row r="4" customFormat="false" ht="15" hidden="false" customHeight="false" outlineLevel="0" collapsed="false">
      <c r="A4" s="0" t="n">
        <v>1003</v>
      </c>
      <c r="B4" s="0" t="s">
        <v>18</v>
      </c>
      <c r="C4" s="0" t="str">
        <f aca="false">PROPER(TRIM("Manresa"))</f>
        <v>Manresa</v>
      </c>
      <c r="D4" s="0" t="str">
        <f aca="false">PROPER(TRIM("California"))</f>
        <v>California</v>
      </c>
      <c r="E4" s="0" t="str">
        <f aca="false">IF("Unknown"="","Unknown","Unknown")</f>
        <v>Unknown</v>
      </c>
      <c r="F4" s="0" t="str">
        <f aca="false">PROPER(TRIM("TOWNHOUSE"))</f>
        <v>Townhouse</v>
      </c>
      <c r="G4" s="3" t="n">
        <v>710000</v>
      </c>
      <c r="I4" s="0" t="str">
        <f aca="false">PROPER(TRIM("priya patel"))</f>
        <v>Priya Patel</v>
      </c>
      <c r="J4" s="4" t="n">
        <f aca="false">IFERROR(INDEX(Historical_Sales!$C:$C,MATCH(A4,Historical_Sales!$A:$A,0)),"No Sale History")</f>
        <v>654496</v>
      </c>
      <c r="K4" s="4" t="n">
        <f aca="false">IFERROR(INDEX(Historical_Sales!$D:$D,MATCH(A4,Historical_Sales!$A:$A,0)),"No Sale History")</f>
        <v>37</v>
      </c>
    </row>
    <row r="5" customFormat="false" ht="15" hidden="false" customHeight="false" outlineLevel="0" collapsed="false">
      <c r="A5" s="0" t="n">
        <v>1004</v>
      </c>
      <c r="B5" s="0" t="s">
        <v>21</v>
      </c>
      <c r="C5" s="0" t="str">
        <f aca="false">PROPER(TRIM("Manresa "))</f>
        <v>Manresa</v>
      </c>
      <c r="D5" s="0" t="str">
        <f aca="false">PROPER(TRIM("California"))</f>
        <v>California</v>
      </c>
      <c r="E5" s="0" t="str">
        <f aca="false">IF("Unknown"="","Unknown","Unknown")</f>
        <v>Unknown</v>
      </c>
      <c r="F5" s="0" t="str">
        <f aca="false">PROPER(TRIM("Single Family"))</f>
        <v>Single Family</v>
      </c>
      <c r="G5" s="3" t="n">
        <v>520000</v>
      </c>
      <c r="H5" s="4" t="s">
        <v>23</v>
      </c>
      <c r="I5" s="0" t="str">
        <f aca="false">PROPER(TRIM("Priya Patel"))</f>
        <v>Priya Patel</v>
      </c>
      <c r="J5" s="4" t="n">
        <f aca="false">IFERROR(INDEX(Historical_Sales!$C:$C,MATCH(A5,Historical_Sales!$A:$A,0)),"No Sale History")</f>
        <v>647815</v>
      </c>
      <c r="K5" s="4" t="n">
        <f aca="false">IFERROR(INDEX(Historical_Sales!$D:$D,MATCH(A5,Historical_Sales!$A:$A,0)),"No Sale History")</f>
        <v>41</v>
      </c>
    </row>
    <row r="6" customFormat="false" ht="15" hidden="false" customHeight="false" outlineLevel="0" collapsed="false">
      <c r="A6" s="0" t="n">
        <v>1005</v>
      </c>
      <c r="B6" s="0" t="s">
        <v>25</v>
      </c>
      <c r="C6" s="0" t="str">
        <f aca="false">PROPER(TRIM("manresa"))</f>
        <v>Manresa</v>
      </c>
      <c r="D6" s="0" t="str">
        <f aca="false">UPPER(TRIM("CA"))</f>
        <v>CA</v>
      </c>
      <c r="E6" s="0" t="str">
        <f aca="false">IF("94344"="","Unknown","94344")</f>
        <v>94344</v>
      </c>
      <c r="F6" s="0" t="str">
        <f aca="false">PROPER(TRIM("Single Family"))</f>
        <v>Single Family</v>
      </c>
      <c r="G6" s="3" t="n">
        <v>450000</v>
      </c>
      <c r="H6" s="4" t="s">
        <v>23</v>
      </c>
      <c r="I6" s="0" t="str">
        <f aca="false">PROPER(TRIM("John Smith"))</f>
        <v>John Smith</v>
      </c>
      <c r="J6" s="4" t="n">
        <f aca="false">IFERROR(INDEX(Historical_Sales!$C:$C,MATCH(A6,Historical_Sales!$A:$A,0)),"No Sale History")</f>
        <v>449453</v>
      </c>
      <c r="K6" s="4" t="n">
        <f aca="false">IFERROR(INDEX(Historical_Sales!$D:$D,MATCH(A6,Historical_Sales!$A:$A,0)),"No Sale History")</f>
        <v>22</v>
      </c>
    </row>
    <row r="7" customFormat="false" ht="15" hidden="false" customHeight="false" outlineLevel="0" collapsed="false">
      <c r="A7" s="0" t="n">
        <v>1006</v>
      </c>
      <c r="B7" s="0" t="s">
        <v>30</v>
      </c>
      <c r="C7" s="0" t="str">
        <f aca="false">PROPER(TRIM("MANRESA"))</f>
        <v>Manresa</v>
      </c>
      <c r="D7" s="0" t="str">
        <f aca="false">PROPER(TRIM("California"))</f>
        <v>California</v>
      </c>
      <c r="E7" s="0" t="str">
        <f aca="false">IF("Unknown"="","Unknown","Unknown")</f>
        <v>Unknown</v>
      </c>
      <c r="F7" s="0" t="str">
        <f aca="false">PROPER(TRIM("Single Family"))</f>
        <v>Single Family</v>
      </c>
      <c r="G7" s="3" t="n">
        <v>710000</v>
      </c>
      <c r="H7" s="4" t="s">
        <v>23</v>
      </c>
      <c r="I7" s="0" t="str">
        <f aca="false">PROPER(TRIM("Mike Chen"))</f>
        <v>Mike Chen</v>
      </c>
      <c r="J7" s="4" t="n">
        <f aca="false">IFERROR(INDEX(Historical_Sales!$C:$C,MATCH(A7,Historical_Sales!$A:$A,0)),"No Sale History")</f>
        <v>615535</v>
      </c>
      <c r="K7" s="4" t="n">
        <f aca="false">IFERROR(INDEX(Historical_Sales!$D:$D,MATCH(A7,Historical_Sales!$A:$A,0)),"No Sale History")</f>
        <v>69</v>
      </c>
    </row>
    <row r="8" customFormat="false" ht="15" hidden="false" customHeight="false" outlineLevel="0" collapsed="false">
      <c r="A8" s="0" t="n">
        <v>1007</v>
      </c>
      <c r="B8" s="0" t="s">
        <v>9</v>
      </c>
      <c r="C8" s="0" t="str">
        <f aca="false">PROPER(TRIM("Manresa "))</f>
        <v>Manresa</v>
      </c>
      <c r="D8" s="0" t="str">
        <f aca="false">UPPER(TRIM("CA"))</f>
        <v>CA</v>
      </c>
      <c r="E8" s="0" t="str">
        <f aca="false">IF("94849"="","Unknown","94849")</f>
        <v>94849</v>
      </c>
      <c r="F8" s="0" t="str">
        <f aca="false">PROPER(TRIM("TOWNHOUSE"))</f>
        <v>Townhouse</v>
      </c>
      <c r="G8" s="3" t="n">
        <v>599000</v>
      </c>
      <c r="H8" s="0" t="n">
        <v>4</v>
      </c>
      <c r="I8" s="0" t="str">
        <f aca="false">PROPER(TRIM("Mike Chen"))</f>
        <v>Mike Chen</v>
      </c>
      <c r="J8" s="0" t="str">
        <f aca="false">IFERROR(INDEX(Historical_Sales!$C:$C,MATCH(A8,Historical_Sales!$A:$A,0)),"No Sale History")</f>
        <v>No Sale History</v>
      </c>
      <c r="K8" s="0" t="str">
        <f aca="false">IFERROR(INDEX(Historical_Sales!$D:$D,MATCH(A8,Historical_Sales!$A:$A,0)),"No Sale History")</f>
        <v>No Sale History</v>
      </c>
    </row>
    <row r="9" customFormat="false" ht="15" hidden="false" customHeight="false" outlineLevel="0" collapsed="false">
      <c r="A9" s="0" t="n">
        <v>1008</v>
      </c>
      <c r="B9" s="0" t="s">
        <v>21</v>
      </c>
      <c r="C9" s="0" t="str">
        <f aca="false">PROPER(TRIM("Manresa"))</f>
        <v>Manresa</v>
      </c>
      <c r="D9" s="0" t="str">
        <f aca="false">UPPER(TRIM("CA"))</f>
        <v>CA</v>
      </c>
      <c r="E9" s="0" t="str">
        <f aca="false">IF("94791"="","Unknown","94791")</f>
        <v>94791</v>
      </c>
      <c r="F9" s="0" t="str">
        <f aca="false">PROPER(TRIM("Condo"))</f>
        <v>Condo</v>
      </c>
      <c r="G9" s="3" t="n">
        <v>450000</v>
      </c>
      <c r="H9" s="0" t="n">
        <v>3</v>
      </c>
      <c r="I9" s="0" t="str">
        <f aca="false">PROPER(TRIM("John Smith"))</f>
        <v>John Smith</v>
      </c>
      <c r="J9" s="4" t="n">
        <f aca="false">IFERROR(INDEX(Historical_Sales!$C:$C,MATCH(A9,Historical_Sales!$A:$A,0)),"No Sale History")</f>
        <v>451599</v>
      </c>
      <c r="K9" s="4" t="n">
        <f aca="false">IFERROR(INDEX(Historical_Sales!$D:$D,MATCH(A9,Historical_Sales!$A:$A,0)),"No Sale History")</f>
        <v>17</v>
      </c>
    </row>
    <row r="10" customFormat="false" ht="15" hidden="false" customHeight="false" outlineLevel="0" collapsed="false">
      <c r="A10" s="0" t="n">
        <v>1009</v>
      </c>
      <c r="B10" s="0" t="s">
        <v>36</v>
      </c>
      <c r="C10" s="0" t="str">
        <f aca="false">PROPER(TRIM("MANRESA"))</f>
        <v>Manresa</v>
      </c>
      <c r="D10" s="0" t="str">
        <f aca="false">UPPER(TRIM("ca"))</f>
        <v>CA</v>
      </c>
      <c r="E10" s="0" t="str">
        <f aca="false">IF("94373"="","Unknown","94373")</f>
        <v>94373</v>
      </c>
      <c r="F10" s="0" t="str">
        <f aca="false">PROPER(TRIM("single family"))</f>
        <v>Single Family</v>
      </c>
      <c r="G10" s="3" t="n">
        <v>675000</v>
      </c>
      <c r="H10" s="0" t="n">
        <v>4</v>
      </c>
      <c r="I10" s="0" t="str">
        <f aca="false">PROPER(TRIM("J. Smith"))</f>
        <v>J. Smith</v>
      </c>
      <c r="J10" s="4" t="n">
        <f aca="false">IFERROR(INDEX(Historical_Sales!$C:$C,MATCH(A10,Historical_Sales!$A:$A,0)),"No Sale History")</f>
        <v>457288</v>
      </c>
      <c r="K10" s="4" t="n">
        <f aca="false">IFERROR(INDEX(Historical_Sales!$D:$D,MATCH(A10,Historical_Sales!$A:$A,0)),"No Sale History")</f>
        <v>41</v>
      </c>
    </row>
    <row r="11" customFormat="false" ht="15" hidden="false" customHeight="false" outlineLevel="0" collapsed="false">
      <c r="A11" s="0" t="n">
        <v>1010</v>
      </c>
      <c r="B11" s="0" t="s">
        <v>25</v>
      </c>
      <c r="C11" s="0" t="str">
        <f aca="false">PROPER(TRIM("Manresa"))</f>
        <v>Manresa</v>
      </c>
      <c r="D11" s="0" t="str">
        <f aca="false">PROPER(TRIM("California"))</f>
        <v>California</v>
      </c>
      <c r="E11" s="0" t="str">
        <f aca="false">IF("94546"="","Unknown","94546")</f>
        <v>94546</v>
      </c>
      <c r="F11" s="0" t="str">
        <f aca="false">PROPER(TRIM("TOWNHOUSE"))</f>
        <v>Townhouse</v>
      </c>
      <c r="G11" s="3" t="n">
        <v>520000</v>
      </c>
      <c r="H11" s="0" t="n">
        <v>3</v>
      </c>
      <c r="I11" s="0" t="str">
        <f aca="false">PROPER(TRIM("priya patel"))</f>
        <v>Priya Patel</v>
      </c>
      <c r="J11" s="4" t="n">
        <f aca="false">IFERROR(INDEX(Historical_Sales!$C:$C,MATCH(A11,Historical_Sales!$A:$A,0)),"No Sale History")</f>
        <v>473495</v>
      </c>
      <c r="K11" s="4" t="n">
        <f aca="false">IFERROR(INDEX(Historical_Sales!$D:$D,MATCH(A11,Historical_Sales!$A:$A,0)),"No Sale History")</f>
        <v>64</v>
      </c>
    </row>
    <row r="12" customFormat="false" ht="15" hidden="false" customHeight="false" outlineLevel="0" collapsed="false">
      <c r="A12" s="0" t="n">
        <v>1011</v>
      </c>
      <c r="B12" s="0" t="s">
        <v>36</v>
      </c>
      <c r="C12" s="0" t="str">
        <f aca="false">PROPER(TRIM("MANRESA"))</f>
        <v>Manresa</v>
      </c>
      <c r="D12" s="0" t="str">
        <f aca="false">PROPER(TRIM("California"))</f>
        <v>California</v>
      </c>
      <c r="E12" s="0" t="str">
        <f aca="false">IF("94224"="","Unknown","94224")</f>
        <v>94224</v>
      </c>
      <c r="F12" s="0" t="str">
        <f aca="false">PROPER(TRIM("TOWNHOUSE"))</f>
        <v>Townhouse</v>
      </c>
      <c r="G12" s="3" t="n">
        <v>675000</v>
      </c>
      <c r="H12" s="0" t="n">
        <v>2</v>
      </c>
      <c r="I12" s="0" t="str">
        <f aca="false">PROPER(TRIM("J. Smith"))</f>
        <v>J. Smith</v>
      </c>
      <c r="J12" s="4" t="n">
        <f aca="false">IFERROR(INDEX(Historical_Sales!$C:$C,MATCH(A12,Historical_Sales!$A:$A,0)),"No Sale History")</f>
        <v>439523</v>
      </c>
      <c r="K12" s="4" t="n">
        <f aca="false">IFERROR(INDEX(Historical_Sales!$D:$D,MATCH(A12,Historical_Sales!$A:$A,0)),"No Sale History")</f>
        <v>66</v>
      </c>
    </row>
    <row r="13" customFormat="false" ht="15" hidden="false" customHeight="false" outlineLevel="0" collapsed="false">
      <c r="A13" s="0" t="n">
        <v>1012</v>
      </c>
      <c r="B13" s="0" t="s">
        <v>42</v>
      </c>
      <c r="C13" s="0" t="str">
        <f aca="false">PROPER(TRIM("MANRESA"))</f>
        <v>Manresa</v>
      </c>
      <c r="D13" s="0" t="str">
        <f aca="false">UPPER(TRIM("ca"))</f>
        <v>CA</v>
      </c>
      <c r="E13" s="0" t="str">
        <f aca="false">IF("Unknown"="","Unknown","Unknown")</f>
        <v>Unknown</v>
      </c>
      <c r="F13" s="0" t="str">
        <f aca="false">PROPER(TRIM("single family"))</f>
        <v>Single Family</v>
      </c>
      <c r="G13" s="3" t="n">
        <v>599000</v>
      </c>
      <c r="H13" s="0" t="n">
        <v>4</v>
      </c>
      <c r="I13" s="0" t="str">
        <f aca="false">PROPER(TRIM("J. Smith"))</f>
        <v>J. Smith</v>
      </c>
      <c r="J13" s="4" t="n">
        <f aca="false">IFERROR(INDEX(Historical_Sales!$C:$C,MATCH(A13,Historical_Sales!$A:$A,0)),"No Sale History")</f>
        <v>426522</v>
      </c>
      <c r="K13" s="4" t="n">
        <f aca="false">IFERROR(INDEX(Historical_Sales!$D:$D,MATCH(A13,Historical_Sales!$A:$A,0)),"No Sale History")</f>
        <v>93</v>
      </c>
    </row>
    <row r="14" customFormat="false" ht="15" hidden="false" customHeight="false" outlineLevel="0" collapsed="false">
      <c r="A14" s="0" t="n">
        <v>1013</v>
      </c>
      <c r="B14" s="0" t="s">
        <v>43</v>
      </c>
      <c r="C14" s="0" t="str">
        <f aca="false">PROPER(TRIM("Manresa "))</f>
        <v>Manresa</v>
      </c>
      <c r="D14" s="0" t="str">
        <f aca="false">PROPER(TRIM("California"))</f>
        <v>California</v>
      </c>
      <c r="E14" s="0" t="str">
        <f aca="false">IF("94271"="","Unknown","94271")</f>
        <v>94271</v>
      </c>
      <c r="F14" s="0" t="str">
        <f aca="false">PROPER(TRIM("single family"))</f>
        <v>Single Family</v>
      </c>
      <c r="G14" s="3" t="n">
        <v>520000</v>
      </c>
      <c r="I14" s="0" t="str">
        <f aca="false">PROPER(TRIM("Mike Chen"))</f>
        <v>Mike Chen</v>
      </c>
      <c r="J14" s="0" t="str">
        <f aca="false">IFERROR(INDEX(Historical_Sales!$C:$C,MATCH(A14,Historical_Sales!$A:$A,0)),"No Sale History")</f>
        <v>No Sale History</v>
      </c>
      <c r="K14" s="0" t="str">
        <f aca="false">IFERROR(INDEX(Historical_Sales!$D:$D,MATCH(A14,Historical_Sales!$A:$A,0)),"No Sale History")</f>
        <v>No Sale History</v>
      </c>
    </row>
    <row r="15" customFormat="false" ht="15" hidden="false" customHeight="false" outlineLevel="0" collapsed="false">
      <c r="A15" s="0" t="n">
        <v>1014</v>
      </c>
      <c r="B15" s="0" t="s">
        <v>25</v>
      </c>
      <c r="C15" s="0" t="str">
        <f aca="false">PROPER(TRIM("Manresa "))</f>
        <v>Manresa</v>
      </c>
      <c r="D15" s="0" t="str">
        <f aca="false">PROPER(TRIM("California"))</f>
        <v>California</v>
      </c>
      <c r="E15" s="0" t="str">
        <f aca="false">IF("94224"="","Unknown","94224")</f>
        <v>94224</v>
      </c>
      <c r="F15" s="0" t="str">
        <f aca="false">PROPER(TRIM("single family"))</f>
        <v>Single Family</v>
      </c>
      <c r="G15" s="3" t="n">
        <v>599000</v>
      </c>
      <c r="H15" s="4" t="s">
        <v>23</v>
      </c>
      <c r="I15" s="0" t="str">
        <f aca="false">PROPER(TRIM("John Smith"))</f>
        <v>John Smith</v>
      </c>
      <c r="J15" s="4" t="n">
        <f aca="false">IFERROR(INDEX(Historical_Sales!$C:$C,MATCH(A15,Historical_Sales!$A:$A,0)),"No Sale History")</f>
        <v>523930</v>
      </c>
      <c r="K15" s="4" t="n">
        <f aca="false">IFERROR(INDEX(Historical_Sales!$D:$D,MATCH(A15,Historical_Sales!$A:$A,0)),"No Sale History")</f>
        <v>31</v>
      </c>
    </row>
    <row r="16" customFormat="false" ht="15" hidden="false" customHeight="false" outlineLevel="0" collapsed="false">
      <c r="A16" s="0" t="n">
        <v>1015</v>
      </c>
      <c r="B16" s="0" t="s">
        <v>42</v>
      </c>
      <c r="C16" s="0" t="str">
        <f aca="false">PROPER(TRIM("Manresa"))</f>
        <v>Manresa</v>
      </c>
      <c r="D16" s="0" t="str">
        <f aca="false">UPPER(TRIM("CA"))</f>
        <v>CA</v>
      </c>
      <c r="E16" s="0" t="str">
        <f aca="false">IF("94811"="","Unknown","94811")</f>
        <v>94811</v>
      </c>
      <c r="F16" s="0" t="str">
        <f aca="false">PROPER(TRIM("TOWNHOUSE"))</f>
        <v>Townhouse</v>
      </c>
      <c r="G16" s="3" t="n">
        <v>480000</v>
      </c>
      <c r="I16" s="0" t="str">
        <f aca="false">PROPER(TRIM("John Smith"))</f>
        <v>John Smith</v>
      </c>
      <c r="J16" s="4" t="n">
        <f aca="false">IFERROR(INDEX(Historical_Sales!$C:$C,MATCH(A16,Historical_Sales!$A:$A,0)),"No Sale History")</f>
        <v>610260</v>
      </c>
      <c r="K16" s="4" t="n">
        <f aca="false">IFERROR(INDEX(Historical_Sales!$D:$D,MATCH(A16,Historical_Sales!$A:$A,0)),"No Sale History")</f>
        <v>17</v>
      </c>
    </row>
    <row r="17" customFormat="false" ht="15" hidden="false" customHeight="false" outlineLevel="0" collapsed="false">
      <c r="A17" s="0" t="n">
        <v>1016</v>
      </c>
      <c r="B17" s="0" t="s">
        <v>36</v>
      </c>
      <c r="C17" s="0" t="str">
        <f aca="false">PROPER(TRIM("Manresa "))</f>
        <v>Manresa</v>
      </c>
      <c r="D17" s="0" t="str">
        <f aca="false">PROPER(TRIM("California"))</f>
        <v>California</v>
      </c>
      <c r="E17" s="0" t="str">
        <f aca="false">IF("94541"="","Unknown","94541")</f>
        <v>94541</v>
      </c>
      <c r="F17" s="0" t="str">
        <f aca="false">PROPER(TRIM("Condo"))</f>
        <v>Condo</v>
      </c>
      <c r="G17" s="3" t="n">
        <v>599000</v>
      </c>
      <c r="H17" s="0" t="n">
        <v>2</v>
      </c>
      <c r="I17" s="0" t="str">
        <f aca="false">PROPER(TRIM("Mike  Chen"))</f>
        <v>Mike Chen</v>
      </c>
      <c r="J17" s="4" t="n">
        <f aca="false">IFERROR(INDEX(Historical_Sales!$C:$C,MATCH(A17,Historical_Sales!$A:$A,0)),"No Sale History")</f>
        <v>539042</v>
      </c>
      <c r="K17" s="4" t="n">
        <f aca="false">IFERROR(INDEX(Historical_Sales!$D:$D,MATCH(A17,Historical_Sales!$A:$A,0)),"No Sale History")</f>
        <v>110</v>
      </c>
    </row>
    <row r="18" customFormat="false" ht="15" hidden="false" customHeight="false" outlineLevel="0" collapsed="false">
      <c r="A18" s="0" t="n">
        <v>1017</v>
      </c>
      <c r="B18" s="0" t="s">
        <v>9</v>
      </c>
      <c r="C18" s="0" t="str">
        <f aca="false">PROPER(TRIM("MANRESA"))</f>
        <v>Manresa</v>
      </c>
      <c r="D18" s="0" t="str">
        <f aca="false">PROPER(TRIM("California"))</f>
        <v>California</v>
      </c>
      <c r="E18" s="0" t="str">
        <f aca="false">IF("94300"="","Unknown","94300")</f>
        <v>94300</v>
      </c>
      <c r="F18" s="0" t="str">
        <f aca="false">PROPER(TRIM("condo "))</f>
        <v>Condo</v>
      </c>
      <c r="G18" s="3" t="n">
        <v>520000</v>
      </c>
      <c r="H18" s="4" t="s">
        <v>23</v>
      </c>
      <c r="I18" s="0" t="str">
        <f aca="false">PROPER(TRIM("John Smith"))</f>
        <v>John Smith</v>
      </c>
      <c r="J18" s="4" t="n">
        <f aca="false">IFERROR(INDEX(Historical_Sales!$C:$C,MATCH(A18,Historical_Sales!$A:$A,0)),"No Sale History")</f>
        <v>691382</v>
      </c>
      <c r="K18" s="4" t="n">
        <f aca="false">IFERROR(INDEX(Historical_Sales!$D:$D,MATCH(A18,Historical_Sales!$A:$A,0)),"No Sale History")</f>
        <v>94</v>
      </c>
    </row>
    <row r="19" customFormat="false" ht="15" hidden="false" customHeight="false" outlineLevel="0" collapsed="false">
      <c r="A19" s="0" t="n">
        <v>1018</v>
      </c>
      <c r="B19" s="0" t="s">
        <v>25</v>
      </c>
      <c r="C19" s="0" t="str">
        <f aca="false">PROPER(TRIM("manresa"))</f>
        <v>Manresa</v>
      </c>
      <c r="D19" s="0" t="str">
        <f aca="false">PROPER(TRIM("California"))</f>
        <v>California</v>
      </c>
      <c r="E19" s="0" t="str">
        <f aca="false">IF("94891"="","Unknown","94891")</f>
        <v>94891</v>
      </c>
      <c r="F19" s="0" t="str">
        <f aca="false">PROPER(TRIM("TOWNHOUSE"))</f>
        <v>Townhouse</v>
      </c>
      <c r="G19" s="3" t="n">
        <v>675000</v>
      </c>
      <c r="I19" s="0" t="str">
        <f aca="false">PROPER(TRIM("Mike Chen"))</f>
        <v>Mike Chen</v>
      </c>
      <c r="J19" s="4" t="n">
        <f aca="false">IFERROR(INDEX(Historical_Sales!$C:$C,MATCH(A19,Historical_Sales!$A:$A,0)),"No Sale History")</f>
        <v>555560</v>
      </c>
      <c r="K19" s="4" t="n">
        <f aca="false">IFERROR(INDEX(Historical_Sales!$D:$D,MATCH(A19,Historical_Sales!$A:$A,0)),"No Sale History")</f>
        <v>37</v>
      </c>
    </row>
    <row r="20" customFormat="false" ht="15" hidden="false" customHeight="false" outlineLevel="0" collapsed="false">
      <c r="A20" s="0" t="n">
        <v>1019</v>
      </c>
      <c r="B20" s="0" t="s">
        <v>21</v>
      </c>
      <c r="C20" s="0" t="str">
        <f aca="false">PROPER(TRIM("manresa"))</f>
        <v>Manresa</v>
      </c>
      <c r="D20" s="0" t="str">
        <f aca="false">UPPER(TRIM("ca"))</f>
        <v>CA</v>
      </c>
      <c r="E20" s="0" t="str">
        <f aca="false">IF("94552"="","Unknown","94552")</f>
        <v>94552</v>
      </c>
      <c r="F20" s="0" t="str">
        <f aca="false">PROPER(TRIM("Townhouse"))</f>
        <v>Townhouse</v>
      </c>
      <c r="G20" s="3" t="n">
        <v>450000</v>
      </c>
      <c r="I20" s="0" t="str">
        <f aca="false">PROPER(TRIM("Priya Patel"))</f>
        <v>Priya Patel</v>
      </c>
      <c r="J20" s="0" t="str">
        <f aca="false">IFERROR(INDEX(Historical_Sales!$C:$C,MATCH(A20,Historical_Sales!$A:$A,0)),"No Sale History")</f>
        <v>No Sale History</v>
      </c>
      <c r="K20" s="0" t="str">
        <f aca="false">IFERROR(INDEX(Historical_Sales!$D:$D,MATCH(A20,Historical_Sales!$A:$A,0)),"No Sale History")</f>
        <v>No Sale History</v>
      </c>
    </row>
    <row r="21" customFormat="false" ht="15" hidden="false" customHeight="false" outlineLevel="0" collapsed="false">
      <c r="A21" s="0" t="n">
        <v>1020</v>
      </c>
      <c r="B21" s="0" t="s">
        <v>43</v>
      </c>
      <c r="C21" s="0" t="str">
        <f aca="false">PROPER(TRIM("Manresa"))</f>
        <v>Manresa</v>
      </c>
      <c r="D21" s="0" t="str">
        <f aca="false">UPPER(TRIM("CA"))</f>
        <v>CA</v>
      </c>
      <c r="E21" s="0" t="str">
        <f aca="false">IF("94899"="","Unknown","94899")</f>
        <v>94899</v>
      </c>
      <c r="F21" s="0" t="str">
        <f aca="false">PROPER(TRIM("Condo"))</f>
        <v>Condo</v>
      </c>
      <c r="G21" s="3" t="n">
        <v>520000</v>
      </c>
      <c r="H21" s="0" t="n">
        <v>2</v>
      </c>
      <c r="I21" s="0" t="str">
        <f aca="false">PROPER(TRIM("J. Smith"))</f>
        <v>J. Smith</v>
      </c>
      <c r="J21" s="4" t="n">
        <f aca="false">IFERROR(INDEX(Historical_Sales!$C:$C,MATCH(A21,Historical_Sales!$A:$A,0)),"No Sale History")</f>
        <v>564419</v>
      </c>
      <c r="K21" s="4" t="n">
        <f aca="false">IFERROR(INDEX(Historical_Sales!$D:$D,MATCH(A21,Historical_Sales!$A:$A,0)),"No Sale History")</f>
        <v>17</v>
      </c>
    </row>
    <row r="22" customFormat="false" ht="15" hidden="false" customHeight="false" outlineLevel="0" collapsed="false">
      <c r="A22" s="0" t="n">
        <v>1021</v>
      </c>
      <c r="B22" s="0" t="s">
        <v>18</v>
      </c>
      <c r="C22" s="0" t="str">
        <f aca="false">PROPER(TRIM("Manresa"))</f>
        <v>Manresa</v>
      </c>
      <c r="D22" s="0" t="str">
        <f aca="false">UPPER(TRIM("CA"))</f>
        <v>CA</v>
      </c>
      <c r="E22" s="0" t="str">
        <f aca="false">IF("94835"="","Unknown","94835")</f>
        <v>94835</v>
      </c>
      <c r="F22" s="0" t="str">
        <f aca="false">PROPER(TRIM("Single Family"))</f>
        <v>Single Family</v>
      </c>
      <c r="G22" s="3" t="n">
        <v>599000</v>
      </c>
      <c r="H22" s="0" t="n">
        <v>3</v>
      </c>
      <c r="I22" s="0" t="str">
        <f aca="false">PROPER(TRIM("J. Smith"))</f>
        <v>J. Smith</v>
      </c>
      <c r="J22" s="4" t="n">
        <f aca="false">IFERROR(INDEX(Historical_Sales!$C:$C,MATCH(A22,Historical_Sales!$A:$A,0)),"No Sale History")</f>
        <v>678463</v>
      </c>
      <c r="K22" s="4" t="n">
        <f aca="false">IFERROR(INDEX(Historical_Sales!$D:$D,MATCH(A22,Historical_Sales!$A:$A,0)),"No Sale History")</f>
        <v>30</v>
      </c>
    </row>
    <row r="23" customFormat="false" ht="15" hidden="false" customHeight="false" outlineLevel="0" collapsed="false">
      <c r="A23" s="0" t="n">
        <v>1022</v>
      </c>
      <c r="B23" s="0" t="s">
        <v>43</v>
      </c>
      <c r="C23" s="0" t="str">
        <f aca="false">PROPER(TRIM("manresa"))</f>
        <v>Manresa</v>
      </c>
      <c r="D23" s="0" t="str">
        <f aca="false">UPPER(TRIM("ca"))</f>
        <v>CA</v>
      </c>
      <c r="E23" s="0" t="str">
        <f aca="false">IF("94621"="","Unknown","94621")</f>
        <v>94621</v>
      </c>
      <c r="F23" s="0" t="str">
        <f aca="false">PROPER(TRIM("condo "))</f>
        <v>Condo</v>
      </c>
      <c r="G23" s="3" t="n">
        <v>520000</v>
      </c>
      <c r="I23" s="0" t="str">
        <f aca="false">PROPER(TRIM("Mike  Chen"))</f>
        <v>Mike Chen</v>
      </c>
      <c r="J23" s="4" t="n">
        <f aca="false">IFERROR(INDEX(Historical_Sales!$C:$C,MATCH(A23,Historical_Sales!$A:$A,0)),"No Sale History")</f>
        <v>497425</v>
      </c>
      <c r="K23" s="4" t="n">
        <f aca="false">IFERROR(INDEX(Historical_Sales!$D:$D,MATCH(A23,Historical_Sales!$A:$A,0)),"No Sale History")</f>
        <v>18</v>
      </c>
    </row>
    <row r="24" customFormat="false" ht="15" hidden="false" customHeight="false" outlineLevel="0" collapsed="false">
      <c r="A24" s="0" t="n">
        <v>1023</v>
      </c>
      <c r="B24" s="0" t="s">
        <v>21</v>
      </c>
      <c r="C24" s="0" t="str">
        <f aca="false">PROPER(TRIM("MANRESA"))</f>
        <v>Manresa</v>
      </c>
      <c r="D24" s="0" t="str">
        <f aca="false">UPPER(TRIM("ca"))</f>
        <v>CA</v>
      </c>
      <c r="E24" s="0" t="str">
        <f aca="false">IF("94665"="","Unknown","94665")</f>
        <v>94665</v>
      </c>
      <c r="F24" s="0" t="str">
        <f aca="false">PROPER(TRIM("Condo"))</f>
        <v>Condo</v>
      </c>
      <c r="G24" s="3" t="n">
        <v>480000</v>
      </c>
      <c r="I24" s="0" t="str">
        <f aca="false">PROPER(TRIM("priya patel"))</f>
        <v>Priya Patel</v>
      </c>
      <c r="J24" s="4" t="n">
        <f aca="false">IFERROR(INDEX(Historical_Sales!$C:$C,MATCH(A24,Historical_Sales!$A:$A,0)),"No Sale History")</f>
        <v>523314</v>
      </c>
      <c r="K24" s="4" t="n">
        <f aca="false">IFERROR(INDEX(Historical_Sales!$D:$D,MATCH(A24,Historical_Sales!$A:$A,0)),"No Sale History")</f>
        <v>61</v>
      </c>
    </row>
    <row r="25" customFormat="false" ht="15" hidden="false" customHeight="false" outlineLevel="0" collapsed="false">
      <c r="A25" s="0" t="n">
        <v>1024</v>
      </c>
      <c r="B25" s="0" t="s">
        <v>9</v>
      </c>
      <c r="C25" s="0" t="str">
        <f aca="false">PROPER(TRIM("manresa"))</f>
        <v>Manresa</v>
      </c>
      <c r="D25" s="0" t="str">
        <f aca="false">UPPER(TRIM("CA"))</f>
        <v>CA</v>
      </c>
      <c r="E25" s="0" t="str">
        <f aca="false">IF("Unknown"="","Unknown","Unknown")</f>
        <v>Unknown</v>
      </c>
      <c r="F25" s="0" t="str">
        <f aca="false">PROPER(TRIM("Single Family"))</f>
        <v>Single Family</v>
      </c>
      <c r="G25" s="3" t="n">
        <v>599000</v>
      </c>
      <c r="I25" s="0" t="str">
        <f aca="false">PROPER(TRIM("J. Smith"))</f>
        <v>J. Smith</v>
      </c>
      <c r="J25" s="4" t="n">
        <f aca="false">IFERROR(INDEX(Historical_Sales!$C:$C,MATCH(A25,Historical_Sales!$A:$A,0)),"No Sale History")</f>
        <v>420836</v>
      </c>
      <c r="K25" s="4" t="n">
        <f aca="false">IFERROR(INDEX(Historical_Sales!$D:$D,MATCH(A25,Historical_Sales!$A:$A,0)),"No Sale History")</f>
        <v>89</v>
      </c>
    </row>
    <row r="26" customFormat="false" ht="15" hidden="false" customHeight="false" outlineLevel="0" collapsed="false">
      <c r="A26" s="0" t="n">
        <v>1025</v>
      </c>
      <c r="B26" s="0" t="s">
        <v>18</v>
      </c>
      <c r="C26" s="0" t="str">
        <f aca="false">PROPER(TRIM("manresa"))</f>
        <v>Manresa</v>
      </c>
      <c r="D26" s="0" t="str">
        <f aca="false">UPPER(TRIM("CA"))</f>
        <v>CA</v>
      </c>
      <c r="E26" s="0" t="str">
        <f aca="false">IF("Unknown"="","Unknown","Unknown")</f>
        <v>Unknown</v>
      </c>
      <c r="F26" s="0" t="str">
        <f aca="false">PROPER(TRIM("TOWNHOUSE"))</f>
        <v>Townhouse</v>
      </c>
      <c r="G26" s="3" t="n">
        <v>450000</v>
      </c>
      <c r="H26" s="0" t="n">
        <v>3</v>
      </c>
      <c r="I26" s="0" t="str">
        <f aca="false">PROPER(TRIM("John Smith"))</f>
        <v>John Smith</v>
      </c>
      <c r="J26" s="4" t="n">
        <f aca="false">IFERROR(INDEX(Historical_Sales!$C:$C,MATCH(A26,Historical_Sales!$A:$A,0)),"No Sale History")</f>
        <v>696341</v>
      </c>
      <c r="K26" s="4" t="n">
        <f aca="false">IFERROR(INDEX(Historical_Sales!$D:$D,MATCH(A26,Historical_Sales!$A:$A,0)),"No Sale History")</f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2026-09-23T10:59:32Z</dcterms:created>
  <dc:creator>openpyxl</dc:creator>
  <dc:description/>
  <dc:language>en-US</dc:language>
  <cp:lastModifiedBy/>
  <dcterms:modified xsi:type="dcterms:W3CDTF">2026-09-23T11:02:30Z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